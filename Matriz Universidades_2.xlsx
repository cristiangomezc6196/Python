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utomotive-wan.com\SMT\didt6810\Vinculacion\AUMOVIO\5. Proyectos Estratégicos\1. Top Ranking de Universidades\"/>
    </mc:Choice>
  </mc:AlternateContent>
  <xr:revisionPtr revIDLastSave="0" documentId="13_ncr:1_{20F62F56-EF62-4FAB-8FDF-B77B54749817}" xr6:coauthVersionLast="47" xr6:coauthVersionMax="47" xr10:uidLastSave="{00000000-0000-0000-0000-000000000000}"/>
  <bookViews>
    <workbookView xWindow="-46188" yWindow="12" windowWidth="23256" windowHeight="12456" activeTab="6" xr2:uid="{CC55369D-544B-49A5-99F6-E5DC8FD1784E}"/>
  </bookViews>
  <sheets>
    <sheet name="QS Ranking" sheetId="6" r:id="rId1"/>
    <sheet name="SIES » ANUIES RANKING" sheetId="2" r:id="rId2"/>
    <sheet name="TMOD Ranking" sheetId="3" r:id="rId3"/>
    <sheet name="SNI's" sheetId="8" r:id="rId4"/>
    <sheet name="Filtros utilizados en el ANIUES" sheetId="4" r:id="rId5"/>
    <sheet name="Criterios de evaluación" sheetId="5" r:id="rId6"/>
    <sheet name="Matriz"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7" l="1"/>
  <c r="N39" i="7" s="1"/>
  <c r="O39" i="7" s="1"/>
  <c r="P39" i="7" s="1"/>
  <c r="M41" i="7"/>
  <c r="N41" i="7" s="1"/>
  <c r="O41" i="7" s="1"/>
  <c r="P41" i="7" s="1"/>
  <c r="M42" i="7"/>
  <c r="N42" i="7" s="1"/>
  <c r="O42" i="7" s="1"/>
  <c r="P42" i="7" s="1"/>
  <c r="M44" i="7"/>
  <c r="N44" i="7" s="1"/>
  <c r="O44" i="7" s="1"/>
  <c r="P44" i="7" s="1"/>
  <c r="M51" i="7"/>
  <c r="N51" i="7" s="1"/>
  <c r="O51" i="7" s="1"/>
  <c r="P51" i="7" s="1"/>
  <c r="M53" i="7"/>
  <c r="N53" i="7" s="1"/>
  <c r="O53" i="7" s="1"/>
  <c r="P53" i="7" s="1"/>
  <c r="M54" i="7"/>
  <c r="N54" i="7" s="1"/>
  <c r="O54" i="7" s="1"/>
  <c r="P54" i="7" s="1"/>
  <c r="M56" i="7"/>
  <c r="N56" i="7" s="1"/>
  <c r="O56" i="7" s="1"/>
  <c r="P56" i="7" s="1"/>
  <c r="AH30" i="7"/>
  <c r="M45" i="7" s="1"/>
  <c r="N45" i="7" s="1"/>
  <c r="O45" i="7" s="1"/>
  <c r="P45" i="7" s="1"/>
  <c r="AH29" i="7"/>
  <c r="AI7" i="7"/>
  <c r="AI14" i="7"/>
  <c r="AI16" i="7"/>
  <c r="AI19" i="7"/>
  <c r="AI21" i="7"/>
  <c r="AI26" i="7"/>
  <c r="AI28" i="7"/>
  <c r="AH5" i="7"/>
  <c r="AI5" i="7" s="1"/>
  <c r="AH6" i="7"/>
  <c r="AI6" i="7" s="1"/>
  <c r="AH7" i="7"/>
  <c r="AH8" i="7"/>
  <c r="AI8" i="7" s="1"/>
  <c r="AH9" i="7"/>
  <c r="AI9" i="7" s="1"/>
  <c r="AH10" i="7"/>
  <c r="AI10" i="7" s="1"/>
  <c r="AH11" i="7"/>
  <c r="AI11" i="7" s="1"/>
  <c r="AH12" i="7"/>
  <c r="AI12" i="7" s="1"/>
  <c r="AH13" i="7"/>
  <c r="AI13" i="7" s="1"/>
  <c r="AH14" i="7"/>
  <c r="AH15" i="7"/>
  <c r="AI15" i="7" s="1"/>
  <c r="AH16" i="7"/>
  <c r="AH17" i="7"/>
  <c r="AI17" i="7" s="1"/>
  <c r="AH18" i="7"/>
  <c r="AI18" i="7" s="1"/>
  <c r="AH19" i="7"/>
  <c r="AH20" i="7"/>
  <c r="AI20" i="7" s="1"/>
  <c r="AH21" i="7"/>
  <c r="AH22" i="7"/>
  <c r="AI22" i="7" s="1"/>
  <c r="AH23" i="7"/>
  <c r="AI23" i="7" s="1"/>
  <c r="AH24" i="7"/>
  <c r="AI24" i="7" s="1"/>
  <c r="AH25" i="7"/>
  <c r="AI25" i="7" s="1"/>
  <c r="AH26" i="7"/>
  <c r="AH27" i="7"/>
  <c r="AI27" i="7" s="1"/>
  <c r="AH28" i="7"/>
  <c r="AH4" i="7"/>
  <c r="AI4" i="7" s="1"/>
  <c r="F7" i="8"/>
  <c r="F9" i="8"/>
  <c r="F10" i="8"/>
  <c r="F11" i="8"/>
  <c r="F14" i="8"/>
  <c r="F16" i="8"/>
  <c r="F17" i="8"/>
  <c r="F18" i="8"/>
  <c r="F19" i="8"/>
  <c r="F20" i="8"/>
  <c r="F21" i="8"/>
  <c r="F22" i="8"/>
  <c r="F25" i="8"/>
  <c r="F26" i="8"/>
  <c r="F27" i="8"/>
  <c r="F28" i="8"/>
  <c r="E5" i="8"/>
  <c r="E7" i="8"/>
  <c r="E8" i="8"/>
  <c r="E9" i="8"/>
  <c r="E10" i="8"/>
  <c r="E11" i="8"/>
  <c r="E12" i="8"/>
  <c r="E13" i="8"/>
  <c r="E14" i="8"/>
  <c r="E15" i="8"/>
  <c r="E16" i="8"/>
  <c r="E17" i="8"/>
  <c r="E18" i="8"/>
  <c r="E19" i="8"/>
  <c r="E20" i="8"/>
  <c r="E21" i="8"/>
  <c r="E22" i="8"/>
  <c r="E23" i="8"/>
  <c r="E24" i="8"/>
  <c r="E25" i="8"/>
  <c r="E26" i="8"/>
  <c r="E27" i="8"/>
  <c r="E28" i="8"/>
  <c r="E4" i="8"/>
  <c r="D5" i="8"/>
  <c r="D6" i="8"/>
  <c r="E6" i="8" s="1"/>
  <c r="D7" i="8"/>
  <c r="D8" i="8"/>
  <c r="D9" i="8"/>
  <c r="D10" i="8"/>
  <c r="D11" i="8"/>
  <c r="D12" i="8"/>
  <c r="D13" i="8"/>
  <c r="D14" i="8"/>
  <c r="D15" i="8"/>
  <c r="D16" i="8"/>
  <c r="D17" i="8"/>
  <c r="D18" i="8"/>
  <c r="D19" i="8"/>
  <c r="D20" i="8"/>
  <c r="D21" i="8"/>
  <c r="D22" i="8"/>
  <c r="D23" i="8"/>
  <c r="D24" i="8"/>
  <c r="D25" i="8"/>
  <c r="D26" i="8"/>
  <c r="D27" i="8"/>
  <c r="D28" i="8"/>
  <c r="D4" i="8"/>
  <c r="E2" i="8"/>
  <c r="D36" i="7"/>
  <c r="C35" i="7"/>
  <c r="C36" i="7"/>
  <c r="C37" i="7"/>
  <c r="C38" i="7"/>
  <c r="C39" i="7"/>
  <c r="C40" i="7"/>
  <c r="C41" i="7"/>
  <c r="C42" i="7"/>
  <c r="C43" i="7"/>
  <c r="C44" i="7"/>
  <c r="C45" i="7"/>
  <c r="C46" i="7"/>
  <c r="C47" i="7"/>
  <c r="C48" i="7"/>
  <c r="C49" i="7"/>
  <c r="C50" i="7"/>
  <c r="C51" i="7"/>
  <c r="C52" i="7"/>
  <c r="C53" i="7"/>
  <c r="C54" i="7"/>
  <c r="C55" i="7"/>
  <c r="C56" i="7"/>
  <c r="C57" i="7"/>
  <c r="C58" i="7"/>
  <c r="C34" i="7"/>
  <c r="L35" i="7"/>
  <c r="L36" i="7"/>
  <c r="L37" i="7"/>
  <c r="L38" i="7"/>
  <c r="L39" i="7"/>
  <c r="L40" i="7"/>
  <c r="L41" i="7"/>
  <c r="L42" i="7"/>
  <c r="L43" i="7"/>
  <c r="L44" i="7"/>
  <c r="L45" i="7"/>
  <c r="L46" i="7"/>
  <c r="L47" i="7"/>
  <c r="L48" i="7"/>
  <c r="L49" i="7"/>
  <c r="L50" i="7"/>
  <c r="L51" i="7"/>
  <c r="L52" i="7"/>
  <c r="L53" i="7"/>
  <c r="L54" i="7"/>
  <c r="L55" i="7"/>
  <c r="L56" i="7"/>
  <c r="L57" i="7"/>
  <c r="L58" i="7"/>
  <c r="L34" i="7"/>
  <c r="J35" i="7"/>
  <c r="J36" i="7"/>
  <c r="J37" i="7"/>
  <c r="J38" i="7"/>
  <c r="J39" i="7"/>
  <c r="J40" i="7"/>
  <c r="J41" i="7"/>
  <c r="J42" i="7"/>
  <c r="J43" i="7"/>
  <c r="J44" i="7"/>
  <c r="J45" i="7"/>
  <c r="J46" i="7"/>
  <c r="J47" i="7"/>
  <c r="J48" i="7"/>
  <c r="J49" i="7"/>
  <c r="J50" i="7"/>
  <c r="J51" i="7"/>
  <c r="J52" i="7"/>
  <c r="J53" i="7"/>
  <c r="J54" i="7"/>
  <c r="J55" i="7"/>
  <c r="J56" i="7"/>
  <c r="J57" i="7"/>
  <c r="J58" i="7"/>
  <c r="J34" i="7"/>
  <c r="I35" i="7"/>
  <c r="I36" i="7"/>
  <c r="I37" i="7"/>
  <c r="I38" i="7"/>
  <c r="I39" i="7"/>
  <c r="I40" i="7"/>
  <c r="I41" i="7"/>
  <c r="I42" i="7"/>
  <c r="I43" i="7"/>
  <c r="I44" i="7"/>
  <c r="I45" i="7"/>
  <c r="I46" i="7"/>
  <c r="I47" i="7"/>
  <c r="I48" i="7"/>
  <c r="I49" i="7"/>
  <c r="I50" i="7"/>
  <c r="I51" i="7"/>
  <c r="I52" i="7"/>
  <c r="I53" i="7"/>
  <c r="I54" i="7"/>
  <c r="I55" i="7"/>
  <c r="I56" i="7"/>
  <c r="I57" i="7"/>
  <c r="I58" i="7"/>
  <c r="I34" i="7"/>
  <c r="H35" i="7"/>
  <c r="H36" i="7"/>
  <c r="H37" i="7"/>
  <c r="H38" i="7"/>
  <c r="H39" i="7"/>
  <c r="H40" i="7"/>
  <c r="H41" i="7"/>
  <c r="H42" i="7"/>
  <c r="H43" i="7"/>
  <c r="H44" i="7"/>
  <c r="H45" i="7"/>
  <c r="H46" i="7"/>
  <c r="H47" i="7"/>
  <c r="H48" i="7"/>
  <c r="H49" i="7"/>
  <c r="H50" i="7"/>
  <c r="H51" i="7"/>
  <c r="H52" i="7"/>
  <c r="H53" i="7"/>
  <c r="H54" i="7"/>
  <c r="H55" i="7"/>
  <c r="H56" i="7"/>
  <c r="H57" i="7"/>
  <c r="H58" i="7"/>
  <c r="H34" i="7"/>
  <c r="G35" i="7"/>
  <c r="G36" i="7"/>
  <c r="G37" i="7"/>
  <c r="G38" i="7"/>
  <c r="G39" i="7"/>
  <c r="G40" i="7"/>
  <c r="G41" i="7"/>
  <c r="G42" i="7"/>
  <c r="G43" i="7"/>
  <c r="G44" i="7"/>
  <c r="G45" i="7"/>
  <c r="G46" i="7"/>
  <c r="G47" i="7"/>
  <c r="G48" i="7"/>
  <c r="G49" i="7"/>
  <c r="G50" i="7"/>
  <c r="G51" i="7"/>
  <c r="G52" i="7"/>
  <c r="G53" i="7"/>
  <c r="G54" i="7"/>
  <c r="G55" i="7"/>
  <c r="G56" i="7"/>
  <c r="G57" i="7"/>
  <c r="G58" i="7"/>
  <c r="G34" i="7"/>
  <c r="F35" i="7"/>
  <c r="F36" i="7"/>
  <c r="F37" i="7"/>
  <c r="F38" i="7"/>
  <c r="F39" i="7"/>
  <c r="F40" i="7"/>
  <c r="F41" i="7"/>
  <c r="F42" i="7"/>
  <c r="F43" i="7"/>
  <c r="F44" i="7"/>
  <c r="F45" i="7"/>
  <c r="F46" i="7"/>
  <c r="F47" i="7"/>
  <c r="F48" i="7"/>
  <c r="F49" i="7"/>
  <c r="F50" i="7"/>
  <c r="F51" i="7"/>
  <c r="F52" i="7"/>
  <c r="F53" i="7"/>
  <c r="F54" i="7"/>
  <c r="F55" i="7"/>
  <c r="F56" i="7"/>
  <c r="F57" i="7"/>
  <c r="F58" i="7"/>
  <c r="F34" i="7"/>
  <c r="D35" i="7"/>
  <c r="D37" i="7"/>
  <c r="D38" i="7"/>
  <c r="D39" i="7"/>
  <c r="D40" i="7"/>
  <c r="D41" i="7"/>
  <c r="D42" i="7"/>
  <c r="D43" i="7"/>
  <c r="D44" i="7"/>
  <c r="D45" i="7"/>
  <c r="D46" i="7"/>
  <c r="D47" i="7"/>
  <c r="D48" i="7"/>
  <c r="D49" i="7"/>
  <c r="D50" i="7"/>
  <c r="D51" i="7"/>
  <c r="D52" i="7"/>
  <c r="D53" i="7"/>
  <c r="D54" i="7"/>
  <c r="D55" i="7"/>
  <c r="D56" i="7"/>
  <c r="D57" i="7"/>
  <c r="D58" i="7"/>
  <c r="D34" i="7"/>
  <c r="E35" i="7"/>
  <c r="E36" i="7"/>
  <c r="E37" i="7"/>
  <c r="E38" i="7"/>
  <c r="E39" i="7"/>
  <c r="E40" i="7"/>
  <c r="E41" i="7"/>
  <c r="E42" i="7"/>
  <c r="E43" i="7"/>
  <c r="E44" i="7"/>
  <c r="E45" i="7"/>
  <c r="E46" i="7"/>
  <c r="E47" i="7"/>
  <c r="E48" i="7"/>
  <c r="E49" i="7"/>
  <c r="E50" i="7"/>
  <c r="E51" i="7"/>
  <c r="E52" i="7"/>
  <c r="E53" i="7"/>
  <c r="E54" i="7"/>
  <c r="E55" i="7"/>
  <c r="E56" i="7"/>
  <c r="E57" i="7"/>
  <c r="E58" i="7"/>
  <c r="E34" i="7"/>
  <c r="AE30" i="7"/>
  <c r="AE29" i="7"/>
  <c r="Y30" i="7"/>
  <c r="Z30" i="7" s="1"/>
  <c r="Y29" i="7"/>
  <c r="Z29" i="7" s="1"/>
  <c r="V30" i="7"/>
  <c r="V29" i="7"/>
  <c r="S30" i="7"/>
  <c r="S29" i="7"/>
  <c r="P30" i="7"/>
  <c r="P29" i="7"/>
  <c r="M30" i="7"/>
  <c r="N30" i="7"/>
  <c r="M29" i="7"/>
  <c r="N29" i="7" s="1"/>
  <c r="J30" i="7"/>
  <c r="K30" i="7" s="1"/>
  <c r="J29" i="7"/>
  <c r="K29" i="7" s="1"/>
  <c r="G30" i="7"/>
  <c r="H30" i="7" s="1"/>
  <c r="G29" i="7"/>
  <c r="H29" i="7" s="1"/>
  <c r="D30" i="7"/>
  <c r="E30" i="7" s="1"/>
  <c r="D29" i="7"/>
  <c r="E29" i="7" s="1"/>
  <c r="F63" i="6"/>
  <c r="F64" i="6"/>
  <c r="F65" i="6"/>
  <c r="F66" i="6"/>
  <c r="F67" i="6"/>
  <c r="F68" i="6"/>
  <c r="F69" i="6"/>
  <c r="F70" i="6"/>
  <c r="F71" i="6"/>
  <c r="F72" i="6"/>
  <c r="F73" i="6"/>
  <c r="F74" i="6"/>
  <c r="F75" i="6"/>
  <c r="F76" i="6"/>
  <c r="F77" i="6"/>
  <c r="F78" i="6"/>
  <c r="F79" i="6"/>
  <c r="F80" i="6"/>
  <c r="F81" i="6"/>
  <c r="F82" i="6"/>
  <c r="F83" i="6"/>
  <c r="F84" i="6"/>
  <c r="F85" i="6"/>
  <c r="F86" i="6"/>
  <c r="AE5" i="7"/>
  <c r="AE6" i="7"/>
  <c r="AE7" i="7"/>
  <c r="AF7" i="7" s="1"/>
  <c r="AE8" i="7"/>
  <c r="AE9" i="7"/>
  <c r="AF9" i="7" s="1"/>
  <c r="AE10" i="7"/>
  <c r="AF10" i="7" s="1"/>
  <c r="AE11" i="7"/>
  <c r="AF11" i="7" s="1"/>
  <c r="AE12" i="7"/>
  <c r="AF12" i="7" s="1"/>
  <c r="AE13" i="7"/>
  <c r="AE14" i="7"/>
  <c r="AF14" i="7" s="1"/>
  <c r="AE15" i="7"/>
  <c r="AF15" i="7" s="1"/>
  <c r="AE16" i="7"/>
  <c r="AF16" i="7" s="1"/>
  <c r="AE17" i="7"/>
  <c r="AE18" i="7"/>
  <c r="AF18" i="7" s="1"/>
  <c r="AE19" i="7"/>
  <c r="AF19" i="7" s="1"/>
  <c r="AE20" i="7"/>
  <c r="AF20" i="7" s="1"/>
  <c r="AE21" i="7"/>
  <c r="AF21" i="7" s="1"/>
  <c r="AE22" i="7"/>
  <c r="AE23" i="7"/>
  <c r="AF23" i="7" s="1"/>
  <c r="AE24" i="7"/>
  <c r="AE25" i="7"/>
  <c r="AF25" i="7" s="1"/>
  <c r="AE26" i="7"/>
  <c r="AF26" i="7" s="1"/>
  <c r="AE27" i="7"/>
  <c r="AE28" i="7"/>
  <c r="AF28" i="7" s="1"/>
  <c r="AE4" i="7"/>
  <c r="AB5" i="7"/>
  <c r="AB6" i="7"/>
  <c r="AB7" i="7"/>
  <c r="AB8" i="7"/>
  <c r="AB9" i="7"/>
  <c r="AB10" i="7"/>
  <c r="AB11" i="7"/>
  <c r="AB12" i="7"/>
  <c r="AB13" i="7"/>
  <c r="AB14" i="7"/>
  <c r="AB15" i="7"/>
  <c r="AB16" i="7"/>
  <c r="AB17" i="7"/>
  <c r="AB18" i="7"/>
  <c r="AB19" i="7"/>
  <c r="AB20" i="7"/>
  <c r="AB21" i="7"/>
  <c r="AB22" i="7"/>
  <c r="AB23" i="7"/>
  <c r="AB24" i="7"/>
  <c r="AB25" i="7"/>
  <c r="AB26" i="7"/>
  <c r="AB27" i="7"/>
  <c r="AB28" i="7"/>
  <c r="AB4" i="7"/>
  <c r="Z6" i="7"/>
  <c r="Y6" i="7"/>
  <c r="Y7" i="7"/>
  <c r="Z7" i="7" s="1"/>
  <c r="Y9" i="7"/>
  <c r="Z9" i="7" s="1"/>
  <c r="Y10" i="7"/>
  <c r="Z10" i="7" s="1"/>
  <c r="Y11" i="7"/>
  <c r="Z11" i="7" s="1"/>
  <c r="Y12" i="7"/>
  <c r="Y14" i="7"/>
  <c r="Z14" i="7" s="1"/>
  <c r="Y17" i="7"/>
  <c r="Z17" i="7" s="1"/>
  <c r="Y21" i="7"/>
  <c r="Z21" i="7" s="1"/>
  <c r="Y22" i="7"/>
  <c r="Z22" i="7" s="1"/>
  <c r="Y24" i="7"/>
  <c r="Y25" i="7"/>
  <c r="Z25" i="7" s="1"/>
  <c r="Y26" i="7"/>
  <c r="Z26" i="7" s="1"/>
  <c r="Y27" i="7"/>
  <c r="Z27" i="7" s="1"/>
  <c r="Y28" i="7"/>
  <c r="Z28" i="7" s="1"/>
  <c r="W9" i="7"/>
  <c r="W11" i="7"/>
  <c r="W26" i="7"/>
  <c r="V5" i="7"/>
  <c r="V6" i="7"/>
  <c r="W6" i="7" s="1"/>
  <c r="V7" i="7"/>
  <c r="W7" i="7" s="1"/>
  <c r="V8" i="7"/>
  <c r="V9" i="7"/>
  <c r="V10" i="7"/>
  <c r="W10" i="7" s="1"/>
  <c r="V11" i="7"/>
  <c r="V12" i="7"/>
  <c r="V13" i="7"/>
  <c r="V14" i="7"/>
  <c r="W14" i="7" s="1"/>
  <c r="V15" i="7"/>
  <c r="V16" i="7"/>
  <c r="W16" i="7" s="1"/>
  <c r="V17" i="7"/>
  <c r="W17" i="7" s="1"/>
  <c r="V18" i="7"/>
  <c r="V19" i="7"/>
  <c r="W19" i="7" s="1"/>
  <c r="V20" i="7"/>
  <c r="W20" i="7" s="1"/>
  <c r="V21" i="7"/>
  <c r="W21" i="7" s="1"/>
  <c r="V22" i="7"/>
  <c r="W22" i="7" s="1"/>
  <c r="V23" i="7"/>
  <c r="V24" i="7"/>
  <c r="V25" i="7"/>
  <c r="W25" i="7" s="1"/>
  <c r="V26" i="7"/>
  <c r="V27" i="7"/>
  <c r="W27" i="7" s="1"/>
  <c r="V28" i="7"/>
  <c r="W28" i="7" s="1"/>
  <c r="V4" i="7"/>
  <c r="D34" i="2"/>
  <c r="D35" i="2"/>
  <c r="D36" i="2"/>
  <c r="D37" i="2"/>
  <c r="D38" i="2"/>
  <c r="D39" i="2"/>
  <c r="D40" i="2"/>
  <c r="D41" i="2"/>
  <c r="D42" i="2"/>
  <c r="D43" i="2"/>
  <c r="E43" i="2" s="1"/>
  <c r="D44" i="2"/>
  <c r="E44" i="2" s="1"/>
  <c r="F44" i="2" s="1"/>
  <c r="D45" i="2"/>
  <c r="E45" i="2" s="1"/>
  <c r="F45" i="2" s="1"/>
  <c r="D46" i="2"/>
  <c r="D47" i="2"/>
  <c r="D48" i="2"/>
  <c r="D49" i="2"/>
  <c r="D50" i="2"/>
  <c r="D51" i="2"/>
  <c r="D52" i="2"/>
  <c r="D53" i="2"/>
  <c r="D54" i="2"/>
  <c r="D55" i="2"/>
  <c r="E55" i="2" s="1"/>
  <c r="F55" i="2" s="1"/>
  <c r="D56" i="2"/>
  <c r="E56" i="2" s="1"/>
  <c r="F56" i="2" s="1"/>
  <c r="D57" i="2"/>
  <c r="E57" i="2" s="1"/>
  <c r="F57" i="2" s="1"/>
  <c r="D33" i="2"/>
  <c r="T10" i="7"/>
  <c r="T11" i="7"/>
  <c r="T22" i="7"/>
  <c r="S5" i="7"/>
  <c r="S6" i="7"/>
  <c r="T6" i="7" s="1"/>
  <c r="S7" i="7"/>
  <c r="S8" i="7"/>
  <c r="T8" i="7" s="1"/>
  <c r="S9" i="7"/>
  <c r="T9" i="7" s="1"/>
  <c r="S10" i="7"/>
  <c r="S11" i="7"/>
  <c r="S12" i="7"/>
  <c r="T12" i="7" s="1"/>
  <c r="S13" i="7"/>
  <c r="S14" i="7"/>
  <c r="T14" i="7" s="1"/>
  <c r="S15" i="7"/>
  <c r="T15" i="7" s="1"/>
  <c r="S16" i="7"/>
  <c r="T16" i="7" s="1"/>
  <c r="S17" i="7"/>
  <c r="T17" i="7" s="1"/>
  <c r="S18" i="7"/>
  <c r="S19" i="7"/>
  <c r="T19" i="7" s="1"/>
  <c r="S20" i="7"/>
  <c r="S21" i="7"/>
  <c r="T21" i="7" s="1"/>
  <c r="S22" i="7"/>
  <c r="S23" i="7"/>
  <c r="T23" i="7" s="1"/>
  <c r="S24" i="7"/>
  <c r="T24" i="7" s="1"/>
  <c r="S25" i="7"/>
  <c r="T25" i="7" s="1"/>
  <c r="S26" i="7"/>
  <c r="T26" i="7" s="1"/>
  <c r="S27" i="7"/>
  <c r="T27" i="7" s="1"/>
  <c r="S28" i="7"/>
  <c r="T28" i="7" s="1"/>
  <c r="S4" i="7"/>
  <c r="P5" i="7"/>
  <c r="P6" i="7"/>
  <c r="Q6" i="7" s="1"/>
  <c r="P7" i="7"/>
  <c r="Q7" i="7" s="1"/>
  <c r="P8" i="7"/>
  <c r="P9" i="7"/>
  <c r="Q9" i="7" s="1"/>
  <c r="P10" i="7"/>
  <c r="Q10" i="7" s="1"/>
  <c r="P11" i="7"/>
  <c r="Q11" i="7" s="1"/>
  <c r="P12" i="7"/>
  <c r="P13" i="7"/>
  <c r="P14" i="7"/>
  <c r="Q14" i="7" s="1"/>
  <c r="P15" i="7"/>
  <c r="P16" i="7"/>
  <c r="Q16" i="7" s="1"/>
  <c r="P17" i="7"/>
  <c r="Q17" i="7" s="1"/>
  <c r="P18" i="7"/>
  <c r="P19" i="7"/>
  <c r="Q19" i="7" s="1"/>
  <c r="P20" i="7"/>
  <c r="P21" i="7"/>
  <c r="Q21" i="7" s="1"/>
  <c r="P22" i="7"/>
  <c r="Q22" i="7" s="1"/>
  <c r="P23" i="7"/>
  <c r="P24" i="7"/>
  <c r="Q24" i="7" s="1"/>
  <c r="P25" i="7"/>
  <c r="Q25" i="7" s="1"/>
  <c r="P26" i="7"/>
  <c r="Q26" i="7" s="1"/>
  <c r="P27" i="7"/>
  <c r="Q27" i="7" s="1"/>
  <c r="P28" i="7"/>
  <c r="Q28" i="7" s="1"/>
  <c r="P4" i="7"/>
  <c r="M5" i="7"/>
  <c r="M6" i="7"/>
  <c r="N6" i="7" s="1"/>
  <c r="M7" i="7"/>
  <c r="N7" i="7" s="1"/>
  <c r="M8" i="7"/>
  <c r="M9" i="7"/>
  <c r="N9" i="7" s="1"/>
  <c r="M10" i="7"/>
  <c r="M11" i="7"/>
  <c r="N11" i="7" s="1"/>
  <c r="M12" i="7"/>
  <c r="M13" i="7"/>
  <c r="N13" i="7" s="1"/>
  <c r="M14" i="7"/>
  <c r="M15" i="7"/>
  <c r="M16" i="7"/>
  <c r="N16" i="7" s="1"/>
  <c r="M17" i="7"/>
  <c r="N17" i="7" s="1"/>
  <c r="M18" i="7"/>
  <c r="M19" i="7"/>
  <c r="N19" i="7" s="1"/>
  <c r="M20" i="7"/>
  <c r="N20" i="7" s="1"/>
  <c r="M21" i="7"/>
  <c r="N21" i="7" s="1"/>
  <c r="M22" i="7"/>
  <c r="N22" i="7" s="1"/>
  <c r="M23" i="7"/>
  <c r="N23" i="7" s="1"/>
  <c r="M24" i="7"/>
  <c r="M25" i="7"/>
  <c r="N25" i="7" s="1"/>
  <c r="M26" i="7"/>
  <c r="N26" i="7" s="1"/>
  <c r="M27" i="7"/>
  <c r="N27" i="7" s="1"/>
  <c r="M28" i="7"/>
  <c r="N28" i="7" s="1"/>
  <c r="M4" i="7"/>
  <c r="K12" i="7"/>
  <c r="K16" i="7"/>
  <c r="J5" i="7"/>
  <c r="J6" i="7"/>
  <c r="J7" i="7"/>
  <c r="J8" i="7"/>
  <c r="K8" i="7" s="1"/>
  <c r="J9" i="7"/>
  <c r="K9" i="7" s="1"/>
  <c r="J10" i="7"/>
  <c r="K10" i="7" s="1"/>
  <c r="J11" i="7"/>
  <c r="K11" i="7" s="1"/>
  <c r="J12" i="7"/>
  <c r="J13" i="7"/>
  <c r="K13" i="7" s="1"/>
  <c r="J14" i="7"/>
  <c r="K14" i="7" s="1"/>
  <c r="J15" i="7"/>
  <c r="K15" i="7" s="1"/>
  <c r="J16" i="7"/>
  <c r="J17" i="7"/>
  <c r="J18" i="7"/>
  <c r="K18" i="7" s="1"/>
  <c r="J19" i="7"/>
  <c r="K19" i="7" s="1"/>
  <c r="J20" i="7"/>
  <c r="K20" i="7" s="1"/>
  <c r="J21" i="7"/>
  <c r="K21" i="7" s="1"/>
  <c r="J22" i="7"/>
  <c r="K22" i="7" s="1"/>
  <c r="J23" i="7"/>
  <c r="K23" i="7" s="1"/>
  <c r="J24" i="7"/>
  <c r="K24" i="7" s="1"/>
  <c r="J25" i="7"/>
  <c r="K25" i="7" s="1"/>
  <c r="J26" i="7"/>
  <c r="K26" i="7" s="1"/>
  <c r="J27" i="7"/>
  <c r="K27" i="7" s="1"/>
  <c r="J28" i="7"/>
  <c r="K28" i="7" s="1"/>
  <c r="J4" i="7"/>
  <c r="K4" i="7" s="1"/>
  <c r="H12" i="7"/>
  <c r="H26" i="7"/>
  <c r="G5" i="7"/>
  <c r="G6" i="7"/>
  <c r="H6" i="7" s="1"/>
  <c r="G7" i="7"/>
  <c r="G8" i="7"/>
  <c r="G9" i="7"/>
  <c r="G10" i="7"/>
  <c r="H10" i="7" s="1"/>
  <c r="G11" i="7"/>
  <c r="G12" i="7"/>
  <c r="G13" i="7"/>
  <c r="H13" i="7" s="1"/>
  <c r="G14" i="7"/>
  <c r="H14" i="7" s="1"/>
  <c r="G15" i="7"/>
  <c r="H15" i="7" s="1"/>
  <c r="G16" i="7"/>
  <c r="H16" i="7" s="1"/>
  <c r="G17" i="7"/>
  <c r="H17" i="7" s="1"/>
  <c r="G18" i="7"/>
  <c r="H18" i="7" s="1"/>
  <c r="G19" i="7"/>
  <c r="H19" i="7" s="1"/>
  <c r="G20" i="7"/>
  <c r="H20" i="7" s="1"/>
  <c r="G21" i="7"/>
  <c r="H21" i="7" s="1"/>
  <c r="G22" i="7"/>
  <c r="H22" i="7" s="1"/>
  <c r="G23" i="7"/>
  <c r="H23" i="7" s="1"/>
  <c r="G24" i="7"/>
  <c r="H24" i="7" s="1"/>
  <c r="G25" i="7"/>
  <c r="H25" i="7" s="1"/>
  <c r="G26" i="7"/>
  <c r="G27" i="7"/>
  <c r="H27" i="7" s="1"/>
  <c r="G28" i="7"/>
  <c r="H28" i="7" s="1"/>
  <c r="G4" i="7"/>
  <c r="E13" i="7"/>
  <c r="E15" i="7"/>
  <c r="E27" i="7"/>
  <c r="D5" i="7"/>
  <c r="D6" i="7"/>
  <c r="D7" i="7"/>
  <c r="D8" i="7"/>
  <c r="D9" i="7"/>
  <c r="D10" i="7"/>
  <c r="E10" i="7" s="1"/>
  <c r="D11" i="7"/>
  <c r="D12" i="7"/>
  <c r="D13" i="7"/>
  <c r="D14" i="7"/>
  <c r="E14" i="7" s="1"/>
  <c r="D15" i="7"/>
  <c r="D16" i="7"/>
  <c r="E16" i="7" s="1"/>
  <c r="D17" i="7"/>
  <c r="E17" i="7" s="1"/>
  <c r="D18" i="7"/>
  <c r="E18" i="7" s="1"/>
  <c r="D19" i="7"/>
  <c r="E19" i="7" s="1"/>
  <c r="D20" i="7"/>
  <c r="E20" i="7" s="1"/>
  <c r="D21" i="7"/>
  <c r="E21" i="7" s="1"/>
  <c r="D22" i="7"/>
  <c r="E22" i="7" s="1"/>
  <c r="D23" i="7"/>
  <c r="E23" i="7" s="1"/>
  <c r="D24" i="7"/>
  <c r="E24" i="7" s="1"/>
  <c r="D25" i="7"/>
  <c r="E25" i="7" s="1"/>
  <c r="D26" i="7"/>
  <c r="E26" i="7" s="1"/>
  <c r="D27" i="7"/>
  <c r="D28" i="7"/>
  <c r="E28" i="7" s="1"/>
  <c r="D4" i="7"/>
  <c r="X24" i="7"/>
  <c r="X23" i="7"/>
  <c r="Y23" i="7" s="1"/>
  <c r="Z23" i="7" s="1"/>
  <c r="X22" i="7"/>
  <c r="X20" i="7"/>
  <c r="Y20" i="7" s="1"/>
  <c r="Z20" i="7" s="1"/>
  <c r="X19" i="7"/>
  <c r="Y19" i="7" s="1"/>
  <c r="Z19" i="7" s="1"/>
  <c r="X18" i="7"/>
  <c r="Y18" i="7" s="1"/>
  <c r="X16" i="7"/>
  <c r="Y16" i="7" s="1"/>
  <c r="Z16" i="7" s="1"/>
  <c r="X15" i="7"/>
  <c r="Y15" i="7" s="1"/>
  <c r="X13" i="7"/>
  <c r="Y13" i="7" s="1"/>
  <c r="X12" i="7"/>
  <c r="X8" i="7"/>
  <c r="Y8" i="7" s="1"/>
  <c r="X5" i="7"/>
  <c r="Y5" i="7" s="1"/>
  <c r="X4" i="7"/>
  <c r="Y4" i="7" s="1"/>
  <c r="H117" i="2" a="1"/>
  <c r="H117" i="2" s="1"/>
  <c r="E120" i="2"/>
  <c r="E121" i="2"/>
  <c r="E122" i="2"/>
  <c r="E123" i="2"/>
  <c r="E124" i="2"/>
  <c r="E125" i="2"/>
  <c r="E126" i="2"/>
  <c r="E127" i="2"/>
  <c r="E128" i="2"/>
  <c r="E129" i="2"/>
  <c r="E130" i="2"/>
  <c r="E131" i="2"/>
  <c r="E132" i="2"/>
  <c r="E133" i="2"/>
  <c r="E134" i="2"/>
  <c r="E135" i="2"/>
  <c r="E136" i="2"/>
  <c r="E137" i="2"/>
  <c r="E138" i="2"/>
  <c r="E139" i="2"/>
  <c r="E140" i="2"/>
  <c r="E141" i="2"/>
  <c r="E142" i="2"/>
  <c r="E143" i="2"/>
  <c r="E119" i="2"/>
  <c r="D120" i="2"/>
  <c r="D121" i="2"/>
  <c r="D122" i="2"/>
  <c r="D123" i="2"/>
  <c r="D124" i="2"/>
  <c r="D125" i="2"/>
  <c r="D126" i="2"/>
  <c r="D127" i="2"/>
  <c r="D128" i="2"/>
  <c r="D129" i="2"/>
  <c r="D130" i="2"/>
  <c r="D131" i="2"/>
  <c r="D132" i="2"/>
  <c r="D133" i="2"/>
  <c r="D134" i="2"/>
  <c r="D135" i="2"/>
  <c r="D136" i="2"/>
  <c r="D137" i="2"/>
  <c r="D138" i="2"/>
  <c r="D139" i="2"/>
  <c r="D140" i="2"/>
  <c r="D141" i="2"/>
  <c r="D142" i="2"/>
  <c r="D143" i="2"/>
  <c r="D119" i="2"/>
  <c r="H60" i="2" a="1"/>
  <c r="H60" i="2" s="1"/>
  <c r="F63" i="2"/>
  <c r="F64" i="2"/>
  <c r="F65" i="2"/>
  <c r="F66" i="2"/>
  <c r="F67" i="2"/>
  <c r="F68" i="2"/>
  <c r="F69" i="2"/>
  <c r="F70" i="2"/>
  <c r="F71" i="2"/>
  <c r="F72" i="2"/>
  <c r="F73" i="2"/>
  <c r="F74" i="2"/>
  <c r="F75" i="2"/>
  <c r="F76" i="2"/>
  <c r="F77" i="2"/>
  <c r="F78" i="2"/>
  <c r="F79" i="2"/>
  <c r="F80" i="2"/>
  <c r="F81" i="2"/>
  <c r="F82" i="2"/>
  <c r="F83" i="2"/>
  <c r="F84" i="2"/>
  <c r="F85" i="2"/>
  <c r="F86" i="2"/>
  <c r="F62" i="2"/>
  <c r="E63" i="2"/>
  <c r="E64" i="2"/>
  <c r="E65" i="2"/>
  <c r="E66" i="2"/>
  <c r="E67" i="2"/>
  <c r="E68" i="2"/>
  <c r="E69" i="2"/>
  <c r="E70" i="2"/>
  <c r="E71" i="2"/>
  <c r="E72" i="2"/>
  <c r="E73" i="2"/>
  <c r="E74" i="2"/>
  <c r="E75" i="2"/>
  <c r="E76" i="2"/>
  <c r="E77" i="2"/>
  <c r="E78" i="2"/>
  <c r="E79" i="2"/>
  <c r="E80" i="2"/>
  <c r="E81" i="2"/>
  <c r="E82" i="2"/>
  <c r="E83" i="2"/>
  <c r="E84" i="2"/>
  <c r="E85" i="2"/>
  <c r="E86" i="2"/>
  <c r="E62" i="2"/>
  <c r="D63" i="2"/>
  <c r="D64" i="2"/>
  <c r="D65" i="2"/>
  <c r="D66" i="2"/>
  <c r="D67" i="2"/>
  <c r="D68" i="2"/>
  <c r="D69" i="2"/>
  <c r="D70" i="2"/>
  <c r="D71" i="2"/>
  <c r="D72" i="2"/>
  <c r="D73" i="2"/>
  <c r="D74" i="2"/>
  <c r="D75" i="2"/>
  <c r="D76" i="2"/>
  <c r="D77" i="2"/>
  <c r="D78" i="2"/>
  <c r="D79" i="2"/>
  <c r="D80" i="2"/>
  <c r="D81" i="2"/>
  <c r="D82" i="2"/>
  <c r="D83" i="2"/>
  <c r="D84" i="2"/>
  <c r="D85" i="2"/>
  <c r="D86" i="2"/>
  <c r="D62" i="2"/>
  <c r="E60" i="2"/>
  <c r="H89" i="2" a="1"/>
  <c r="H89" i="2" s="1"/>
  <c r="F92" i="2"/>
  <c r="F93" i="2"/>
  <c r="F94" i="2"/>
  <c r="F95" i="2"/>
  <c r="F96" i="2"/>
  <c r="F97" i="2"/>
  <c r="F98" i="2"/>
  <c r="F99" i="2"/>
  <c r="F100" i="2"/>
  <c r="F101" i="2"/>
  <c r="F102" i="2"/>
  <c r="F103" i="2"/>
  <c r="F104" i="2"/>
  <c r="F105" i="2"/>
  <c r="F106" i="2"/>
  <c r="F107" i="2"/>
  <c r="F108" i="2"/>
  <c r="F109" i="2"/>
  <c r="F110" i="2"/>
  <c r="F111" i="2"/>
  <c r="F112" i="2"/>
  <c r="F113" i="2"/>
  <c r="F114" i="2"/>
  <c r="F115" i="2"/>
  <c r="F91" i="2"/>
  <c r="E92" i="2"/>
  <c r="E93" i="2"/>
  <c r="E94" i="2"/>
  <c r="E95" i="2"/>
  <c r="E96" i="2"/>
  <c r="E97" i="2"/>
  <c r="E98" i="2"/>
  <c r="E99" i="2"/>
  <c r="E100" i="2"/>
  <c r="E101" i="2"/>
  <c r="E102" i="2"/>
  <c r="E103" i="2"/>
  <c r="E104" i="2"/>
  <c r="E105" i="2"/>
  <c r="E106" i="2"/>
  <c r="E107" i="2"/>
  <c r="E108" i="2"/>
  <c r="E109" i="2"/>
  <c r="E110" i="2"/>
  <c r="E111" i="2"/>
  <c r="E112" i="2"/>
  <c r="E113" i="2"/>
  <c r="E114" i="2"/>
  <c r="E115" i="2"/>
  <c r="E91" i="2"/>
  <c r="D92" i="2"/>
  <c r="D93" i="2"/>
  <c r="D94" i="2"/>
  <c r="D95" i="2"/>
  <c r="D96" i="2"/>
  <c r="D97" i="2"/>
  <c r="D98" i="2"/>
  <c r="D99" i="2"/>
  <c r="D100" i="2"/>
  <c r="D101" i="2"/>
  <c r="D102" i="2"/>
  <c r="D103" i="2"/>
  <c r="D104" i="2"/>
  <c r="D105" i="2"/>
  <c r="D106" i="2"/>
  <c r="D107" i="2"/>
  <c r="D108" i="2"/>
  <c r="D109" i="2"/>
  <c r="D110" i="2"/>
  <c r="D111" i="2"/>
  <c r="D112" i="2"/>
  <c r="D113" i="2"/>
  <c r="D114" i="2"/>
  <c r="D115" i="2"/>
  <c r="D91" i="2"/>
  <c r="E2" i="2"/>
  <c r="E31" i="2"/>
  <c r="E89" i="2"/>
  <c r="C111" i="2"/>
  <c r="C110" i="2"/>
  <c r="C109" i="2"/>
  <c r="C107" i="2"/>
  <c r="C106" i="2"/>
  <c r="C105" i="2"/>
  <c r="C103" i="2"/>
  <c r="C102" i="2"/>
  <c r="C100" i="2"/>
  <c r="C99" i="2"/>
  <c r="C95" i="2"/>
  <c r="C92" i="2"/>
  <c r="C91" i="2"/>
  <c r="E34" i="2"/>
  <c r="E35" i="2"/>
  <c r="E36" i="2"/>
  <c r="F36" i="2" s="1"/>
  <c r="E37" i="2"/>
  <c r="E38" i="2"/>
  <c r="F38" i="2" s="1"/>
  <c r="E39" i="2"/>
  <c r="F39" i="2" s="1"/>
  <c r="E40" i="2"/>
  <c r="E41" i="2"/>
  <c r="F41" i="2" s="1"/>
  <c r="E42" i="2"/>
  <c r="E46" i="2"/>
  <c r="F46" i="2" s="1"/>
  <c r="E47" i="2"/>
  <c r="E48" i="2"/>
  <c r="E49" i="2"/>
  <c r="E50" i="2"/>
  <c r="E51" i="2"/>
  <c r="F51" i="2" s="1"/>
  <c r="E52" i="2"/>
  <c r="F52" i="2" s="1"/>
  <c r="E53" i="2"/>
  <c r="F53" i="2" s="1"/>
  <c r="E54" i="2"/>
  <c r="F54" i="2" s="1"/>
  <c r="E33" i="2"/>
  <c r="H2" i="2" a="1"/>
  <c r="H2" i="2" s="1"/>
  <c r="F5" i="2"/>
  <c r="F6" i="2"/>
  <c r="F7" i="2"/>
  <c r="F8" i="2"/>
  <c r="F9" i="2"/>
  <c r="F10" i="2"/>
  <c r="F11" i="2"/>
  <c r="F12" i="2"/>
  <c r="F13" i="2"/>
  <c r="F14" i="2"/>
  <c r="F15" i="2"/>
  <c r="F16" i="2"/>
  <c r="F17" i="2"/>
  <c r="F18" i="2"/>
  <c r="F19" i="2"/>
  <c r="F20" i="2"/>
  <c r="F21" i="2"/>
  <c r="F22" i="2"/>
  <c r="F23" i="2"/>
  <c r="F24" i="2"/>
  <c r="F25" i="2"/>
  <c r="F26" i="2"/>
  <c r="F27" i="2"/>
  <c r="F28" i="2"/>
  <c r="F4" i="2"/>
  <c r="E5" i="2"/>
  <c r="E6" i="2"/>
  <c r="E7" i="2"/>
  <c r="E8" i="2"/>
  <c r="E9" i="2"/>
  <c r="E10" i="2"/>
  <c r="E11" i="2"/>
  <c r="E12" i="2"/>
  <c r="E13" i="2"/>
  <c r="E14" i="2"/>
  <c r="E15" i="2"/>
  <c r="E16" i="2"/>
  <c r="E17" i="2"/>
  <c r="E18" i="2"/>
  <c r="E19" i="2"/>
  <c r="E20" i="2"/>
  <c r="E21" i="2"/>
  <c r="E22" i="2"/>
  <c r="E23" i="2"/>
  <c r="E24" i="2"/>
  <c r="E25" i="2"/>
  <c r="E26" i="2"/>
  <c r="E27" i="2"/>
  <c r="E28" i="2"/>
  <c r="E4" i="2"/>
  <c r="D5" i="2"/>
  <c r="D6" i="2"/>
  <c r="D7" i="2"/>
  <c r="D8" i="2"/>
  <c r="D9" i="2"/>
  <c r="D10" i="2"/>
  <c r="D11" i="2"/>
  <c r="D12" i="2"/>
  <c r="D13" i="2"/>
  <c r="D14" i="2"/>
  <c r="D15" i="2"/>
  <c r="D16" i="2"/>
  <c r="D17" i="2"/>
  <c r="D18" i="2"/>
  <c r="D19" i="2"/>
  <c r="D20" i="2"/>
  <c r="D21" i="2"/>
  <c r="D22" i="2"/>
  <c r="D23" i="2"/>
  <c r="D24" i="2"/>
  <c r="D25" i="2"/>
  <c r="D26" i="2"/>
  <c r="D27" i="2"/>
  <c r="D28" i="2"/>
  <c r="D4" i="2"/>
  <c r="H2" i="3" a="1"/>
  <c r="H2" i="3" s="1"/>
  <c r="F5" i="3"/>
  <c r="F6" i="3"/>
  <c r="F7" i="3"/>
  <c r="F8" i="3"/>
  <c r="F9" i="3"/>
  <c r="F10" i="3"/>
  <c r="F11" i="3"/>
  <c r="F12" i="3"/>
  <c r="F13" i="3"/>
  <c r="F14" i="3"/>
  <c r="F15" i="3"/>
  <c r="F16" i="3"/>
  <c r="F17" i="3"/>
  <c r="F18" i="3"/>
  <c r="F19" i="3"/>
  <c r="F20" i="3"/>
  <c r="F21" i="3"/>
  <c r="F22" i="3"/>
  <c r="F23" i="3"/>
  <c r="F24" i="3"/>
  <c r="F25" i="3"/>
  <c r="F26" i="3"/>
  <c r="F27" i="3"/>
  <c r="F28" i="3"/>
  <c r="F4" i="3"/>
  <c r="E5" i="3"/>
  <c r="E6" i="3"/>
  <c r="E7" i="3"/>
  <c r="E8" i="3"/>
  <c r="E9" i="3"/>
  <c r="E10" i="3"/>
  <c r="E11" i="3"/>
  <c r="E12" i="3"/>
  <c r="E13" i="3"/>
  <c r="E14" i="3"/>
  <c r="E15" i="3"/>
  <c r="E16" i="3"/>
  <c r="E17" i="3"/>
  <c r="E18" i="3"/>
  <c r="E19" i="3"/>
  <c r="E20" i="3"/>
  <c r="E21" i="3"/>
  <c r="E22" i="3"/>
  <c r="E23" i="3"/>
  <c r="E24" i="3"/>
  <c r="E25" i="3"/>
  <c r="E26" i="3"/>
  <c r="E27" i="3"/>
  <c r="E28" i="3"/>
  <c r="E4" i="3"/>
  <c r="D5" i="3"/>
  <c r="D6" i="3"/>
  <c r="D7" i="3"/>
  <c r="D8" i="3"/>
  <c r="D9" i="3"/>
  <c r="D10" i="3"/>
  <c r="D11" i="3"/>
  <c r="D12" i="3"/>
  <c r="D13" i="3"/>
  <c r="D14" i="3"/>
  <c r="D15" i="3"/>
  <c r="D16" i="3"/>
  <c r="D17" i="3"/>
  <c r="D18" i="3"/>
  <c r="D19" i="3"/>
  <c r="D20" i="3"/>
  <c r="D21" i="3"/>
  <c r="D22" i="3"/>
  <c r="D23" i="3"/>
  <c r="D24" i="3"/>
  <c r="D25" i="3"/>
  <c r="D26" i="3"/>
  <c r="D27" i="3"/>
  <c r="D28" i="3"/>
  <c r="D4" i="3"/>
  <c r="E2" i="3"/>
  <c r="H88" i="6" a="1"/>
  <c r="H88" i="6" s="1"/>
  <c r="F91" i="6"/>
  <c r="F92" i="6"/>
  <c r="F93" i="6"/>
  <c r="F94" i="6"/>
  <c r="F95" i="6"/>
  <c r="F96" i="6"/>
  <c r="F97" i="6"/>
  <c r="F98" i="6"/>
  <c r="F99" i="6"/>
  <c r="F100" i="6"/>
  <c r="F101" i="6"/>
  <c r="F102" i="6"/>
  <c r="F103" i="6"/>
  <c r="F104" i="6"/>
  <c r="F105" i="6"/>
  <c r="F106" i="6"/>
  <c r="F107" i="6"/>
  <c r="F108" i="6"/>
  <c r="F109" i="6"/>
  <c r="F110" i="6"/>
  <c r="F111" i="6"/>
  <c r="F112" i="6"/>
  <c r="F113" i="6"/>
  <c r="F114" i="6"/>
  <c r="F90" i="6"/>
  <c r="E91" i="6"/>
  <c r="E92" i="6"/>
  <c r="E93" i="6"/>
  <c r="E94" i="6"/>
  <c r="E95" i="6"/>
  <c r="E96" i="6"/>
  <c r="E97" i="6"/>
  <c r="E98" i="6"/>
  <c r="E99" i="6"/>
  <c r="E100" i="6"/>
  <c r="E101" i="6"/>
  <c r="E102" i="6"/>
  <c r="E103" i="6"/>
  <c r="E104" i="6"/>
  <c r="E105" i="6"/>
  <c r="E106" i="6"/>
  <c r="E107" i="6"/>
  <c r="E108" i="6"/>
  <c r="E109" i="6"/>
  <c r="E110" i="6"/>
  <c r="E111" i="6"/>
  <c r="E112" i="6"/>
  <c r="E113" i="6"/>
  <c r="E114" i="6"/>
  <c r="E90" i="6"/>
  <c r="D91" i="6"/>
  <c r="D92" i="6"/>
  <c r="D93" i="6"/>
  <c r="D94" i="6"/>
  <c r="D95" i="6"/>
  <c r="D96" i="6"/>
  <c r="D97" i="6"/>
  <c r="D98" i="6"/>
  <c r="D99" i="6"/>
  <c r="D100" i="6"/>
  <c r="D101" i="6"/>
  <c r="D102" i="6"/>
  <c r="D103" i="6"/>
  <c r="D104" i="6"/>
  <c r="D105" i="6"/>
  <c r="D106" i="6"/>
  <c r="D107" i="6"/>
  <c r="D108" i="6"/>
  <c r="D109" i="6"/>
  <c r="D110" i="6"/>
  <c r="D111" i="6"/>
  <c r="D112" i="6"/>
  <c r="D113" i="6"/>
  <c r="D114" i="6"/>
  <c r="D90" i="6"/>
  <c r="E88" i="6"/>
  <c r="M55" i="7" l="1"/>
  <c r="N55" i="7" s="1"/>
  <c r="O55" i="7" s="1"/>
  <c r="P55" i="7" s="1"/>
  <c r="Q55" i="7" s="1"/>
  <c r="M43" i="7"/>
  <c r="N43" i="7" s="1"/>
  <c r="O43" i="7" s="1"/>
  <c r="P43" i="7" s="1"/>
  <c r="M52" i="7"/>
  <c r="N52" i="7" s="1"/>
  <c r="O52" i="7" s="1"/>
  <c r="P52" i="7" s="1"/>
  <c r="M40" i="7"/>
  <c r="N40" i="7" s="1"/>
  <c r="O40" i="7" s="1"/>
  <c r="P40" i="7" s="1"/>
  <c r="M50" i="7"/>
  <c r="N50" i="7" s="1"/>
  <c r="O50" i="7" s="1"/>
  <c r="P50" i="7" s="1"/>
  <c r="Q50" i="7" s="1"/>
  <c r="M38" i="7"/>
  <c r="N38" i="7" s="1"/>
  <c r="O38" i="7" s="1"/>
  <c r="P38" i="7" s="1"/>
  <c r="M49" i="7"/>
  <c r="N49" i="7" s="1"/>
  <c r="M37" i="7"/>
  <c r="N37" i="7" s="1"/>
  <c r="O37" i="7" s="1"/>
  <c r="P37" i="7" s="1"/>
  <c r="M48" i="7"/>
  <c r="N48" i="7" s="1"/>
  <c r="O48" i="7" s="1"/>
  <c r="P48" i="7" s="1"/>
  <c r="M36" i="7"/>
  <c r="N36" i="7" s="1"/>
  <c r="O36" i="7" s="1"/>
  <c r="P36" i="7" s="1"/>
  <c r="M34" i="7"/>
  <c r="N34" i="7" s="1"/>
  <c r="O34" i="7" s="1"/>
  <c r="P34" i="7" s="1"/>
  <c r="M47" i="7"/>
  <c r="N47" i="7" s="1"/>
  <c r="O47" i="7" s="1"/>
  <c r="P47" i="7" s="1"/>
  <c r="M35" i="7"/>
  <c r="N35" i="7" s="1"/>
  <c r="O35" i="7" s="1"/>
  <c r="P35" i="7" s="1"/>
  <c r="M58" i="7"/>
  <c r="N58" i="7" s="1"/>
  <c r="O58" i="7" s="1"/>
  <c r="P58" i="7" s="1"/>
  <c r="M46" i="7"/>
  <c r="N46" i="7" s="1"/>
  <c r="O46" i="7" s="1"/>
  <c r="P46" i="7" s="1"/>
  <c r="M57" i="7"/>
  <c r="N57" i="7" s="1"/>
  <c r="O57" i="7" s="1"/>
  <c r="P57" i="7" s="1"/>
  <c r="F15" i="8"/>
  <c r="F5" i="8"/>
  <c r="F4" i="8"/>
  <c r="F6" i="8"/>
  <c r="F8" i="8"/>
  <c r="F23" i="8"/>
  <c r="F12" i="8"/>
  <c r="F24" i="8"/>
  <c r="F13" i="8"/>
  <c r="Q58" i="7"/>
  <c r="Q51" i="7"/>
  <c r="AF27" i="7"/>
  <c r="AF13" i="7"/>
  <c r="AF24" i="7"/>
  <c r="AF22" i="7"/>
  <c r="AF8" i="7"/>
  <c r="AF6" i="7"/>
  <c r="AF4" i="7"/>
  <c r="AF17" i="7"/>
  <c r="AF5" i="7"/>
  <c r="T18" i="7"/>
  <c r="T13" i="7"/>
  <c r="T5" i="7"/>
  <c r="N18" i="7"/>
  <c r="N4" i="7"/>
  <c r="N5" i="7"/>
  <c r="N15" i="7"/>
  <c r="N14" i="7"/>
  <c r="N24" i="7"/>
  <c r="N12" i="7"/>
  <c r="N10" i="7"/>
  <c r="N8" i="7"/>
  <c r="H11" i="7"/>
  <c r="H5" i="7"/>
  <c r="H8" i="7"/>
  <c r="H7" i="7"/>
  <c r="Z15" i="7"/>
  <c r="Z12" i="7"/>
  <c r="W18" i="7"/>
  <c r="W4" i="7"/>
  <c r="W5" i="7"/>
  <c r="W8" i="7"/>
  <c r="W15" i="7"/>
  <c r="W13" i="7"/>
  <c r="W24" i="7"/>
  <c r="W12" i="7"/>
  <c r="Q8" i="7"/>
  <c r="Q5" i="7"/>
  <c r="Q15" i="7"/>
  <c r="Q13" i="7"/>
  <c r="Q12" i="7"/>
  <c r="K5" i="7"/>
  <c r="E11" i="7"/>
  <c r="E8" i="7"/>
  <c r="E7" i="7"/>
  <c r="E6" i="7"/>
  <c r="E4" i="7"/>
  <c r="E5" i="7"/>
  <c r="Z13" i="7"/>
  <c r="Z18" i="7"/>
  <c r="Z24" i="7"/>
  <c r="Z4" i="7"/>
  <c r="Z5" i="7"/>
  <c r="Z8" i="7"/>
  <c r="Q18" i="7"/>
  <c r="T20" i="7"/>
  <c r="W23" i="7"/>
  <c r="E9" i="7"/>
  <c r="Q4" i="7"/>
  <c r="T7" i="7"/>
  <c r="H9" i="7"/>
  <c r="T4" i="7"/>
  <c r="H4" i="7"/>
  <c r="K7" i="7"/>
  <c r="Q23" i="7"/>
  <c r="K6" i="7"/>
  <c r="K17" i="7"/>
  <c r="Q20" i="7"/>
  <c r="E12" i="7"/>
  <c r="F42" i="2"/>
  <c r="F47" i="2"/>
  <c r="F37" i="2"/>
  <c r="F49" i="2"/>
  <c r="F43" i="2"/>
  <c r="F34" i="2"/>
  <c r="F48" i="2"/>
  <c r="F35" i="2"/>
  <c r="F50" i="2"/>
  <c r="F40" i="2"/>
  <c r="F33" i="2"/>
  <c r="H31" i="2" s="1" a="1"/>
  <c r="H31" i="2" s="1"/>
  <c r="O49" i="7" l="1"/>
  <c r="P49" i="7" s="1"/>
  <c r="Q41" i="7" s="1"/>
  <c r="Q43" i="7"/>
  <c r="Q46" i="7"/>
  <c r="H2" i="8" a="1"/>
  <c r="H2" i="8" s="1"/>
  <c r="Q40" i="7"/>
  <c r="Q54" i="7"/>
  <c r="Q47" i="7"/>
  <c r="Q39" i="7"/>
  <c r="Q53" i="7"/>
  <c r="H60" i="6" a="1"/>
  <c r="H60" i="6" s="1"/>
  <c r="F62" i="6"/>
  <c r="H31" i="6" a="1"/>
  <c r="H31" i="6" s="1"/>
  <c r="E63" i="6"/>
  <c r="E64" i="6"/>
  <c r="E65" i="6"/>
  <c r="E66" i="6"/>
  <c r="E67" i="6"/>
  <c r="E68" i="6"/>
  <c r="E69" i="6"/>
  <c r="E70" i="6"/>
  <c r="E71" i="6"/>
  <c r="E72" i="6"/>
  <c r="E73" i="6"/>
  <c r="E74" i="6"/>
  <c r="E75" i="6"/>
  <c r="E76" i="6"/>
  <c r="E77" i="6"/>
  <c r="E78" i="6"/>
  <c r="E79" i="6"/>
  <c r="E80" i="6"/>
  <c r="E81" i="6"/>
  <c r="E82" i="6"/>
  <c r="E83" i="6"/>
  <c r="E84" i="6"/>
  <c r="E85" i="6"/>
  <c r="E86" i="6"/>
  <c r="E62" i="6"/>
  <c r="D63" i="6"/>
  <c r="D64" i="6"/>
  <c r="D65" i="6"/>
  <c r="D66" i="6"/>
  <c r="D67" i="6"/>
  <c r="D68" i="6"/>
  <c r="D69" i="6"/>
  <c r="D70" i="6"/>
  <c r="D71" i="6"/>
  <c r="D72" i="6"/>
  <c r="D73" i="6"/>
  <c r="D74" i="6"/>
  <c r="D75" i="6"/>
  <c r="D76" i="6"/>
  <c r="D77" i="6"/>
  <c r="D78" i="6"/>
  <c r="D79" i="6"/>
  <c r="D80" i="6"/>
  <c r="D81" i="6"/>
  <c r="D82" i="6"/>
  <c r="D83" i="6"/>
  <c r="D84" i="6"/>
  <c r="D85" i="6"/>
  <c r="D86" i="6"/>
  <c r="D62" i="6"/>
  <c r="E60" i="6"/>
  <c r="F34" i="6"/>
  <c r="F35" i="6"/>
  <c r="F36" i="6"/>
  <c r="F37" i="6"/>
  <c r="F38" i="6"/>
  <c r="F39" i="6"/>
  <c r="F40" i="6"/>
  <c r="F41" i="6"/>
  <c r="F42" i="6"/>
  <c r="F43" i="6"/>
  <c r="F44" i="6"/>
  <c r="F45" i="6"/>
  <c r="F46" i="6"/>
  <c r="F47" i="6"/>
  <c r="F48" i="6"/>
  <c r="F49" i="6"/>
  <c r="F50" i="6"/>
  <c r="F51" i="6"/>
  <c r="F52" i="6"/>
  <c r="F53" i="6"/>
  <c r="F54" i="6"/>
  <c r="F55" i="6"/>
  <c r="F56" i="6"/>
  <c r="F57" i="6"/>
  <c r="F33" i="6"/>
  <c r="E34" i="6"/>
  <c r="E35" i="6"/>
  <c r="E36" i="6"/>
  <c r="E37" i="6"/>
  <c r="E38" i="6"/>
  <c r="E39" i="6"/>
  <c r="E40" i="6"/>
  <c r="E41" i="6"/>
  <c r="E42" i="6"/>
  <c r="E43" i="6"/>
  <c r="E44" i="6"/>
  <c r="E45" i="6"/>
  <c r="E46" i="6"/>
  <c r="E47" i="6"/>
  <c r="E48" i="6"/>
  <c r="E49" i="6"/>
  <c r="E50" i="6"/>
  <c r="E51" i="6"/>
  <c r="E52" i="6"/>
  <c r="E53" i="6"/>
  <c r="E54" i="6"/>
  <c r="E55" i="6"/>
  <c r="E56" i="6"/>
  <c r="E57" i="6"/>
  <c r="E33" i="6"/>
  <c r="D5" i="6"/>
  <c r="D6" i="6"/>
  <c r="D7" i="6"/>
  <c r="D8" i="6"/>
  <c r="D9" i="6"/>
  <c r="D10" i="6"/>
  <c r="D11" i="6"/>
  <c r="D12" i="6"/>
  <c r="D13" i="6"/>
  <c r="E13" i="6" s="1"/>
  <c r="F13" i="6" s="1"/>
  <c r="D14" i="6"/>
  <c r="E14" i="6" s="1"/>
  <c r="F14" i="6" s="1"/>
  <c r="D15" i="6"/>
  <c r="E15" i="6" s="1"/>
  <c r="F15" i="6" s="1"/>
  <c r="D16" i="6"/>
  <c r="E16" i="6" s="1"/>
  <c r="F16" i="6" s="1"/>
  <c r="D17" i="6"/>
  <c r="D18" i="6"/>
  <c r="D19" i="6"/>
  <c r="D20" i="6"/>
  <c r="D21" i="6"/>
  <c r="D22" i="6"/>
  <c r="D23" i="6"/>
  <c r="D24" i="6"/>
  <c r="D25" i="6"/>
  <c r="D26" i="6"/>
  <c r="E26" i="6" s="1"/>
  <c r="F26" i="6" s="1"/>
  <c r="D27" i="6"/>
  <c r="E27" i="6" s="1"/>
  <c r="F27" i="6" s="1"/>
  <c r="D28" i="6"/>
  <c r="E28" i="6" s="1"/>
  <c r="F28" i="6" s="1"/>
  <c r="D4" i="6"/>
  <c r="D34" i="6"/>
  <c r="D35" i="6"/>
  <c r="D36" i="6"/>
  <c r="D37" i="6"/>
  <c r="D38" i="6"/>
  <c r="D39" i="6"/>
  <c r="D40" i="6"/>
  <c r="D41" i="6"/>
  <c r="D42" i="6"/>
  <c r="D43" i="6"/>
  <c r="D44" i="6"/>
  <c r="D45" i="6"/>
  <c r="D46" i="6"/>
  <c r="D47" i="6"/>
  <c r="D48" i="6"/>
  <c r="D49" i="6"/>
  <c r="D50" i="6"/>
  <c r="D51" i="6"/>
  <c r="D52" i="6"/>
  <c r="D53" i="6"/>
  <c r="D54" i="6"/>
  <c r="D55" i="6"/>
  <c r="D56" i="6"/>
  <c r="D57" i="6"/>
  <c r="D33" i="6"/>
  <c r="E31" i="6"/>
  <c r="E10" i="6"/>
  <c r="E12" i="6"/>
  <c r="E22" i="6"/>
  <c r="F22" i="6" s="1"/>
  <c r="E24" i="6"/>
  <c r="F24" i="6" s="1"/>
  <c r="E25" i="6"/>
  <c r="F25" i="6" s="1"/>
  <c r="E2" i="6"/>
  <c r="E5" i="6"/>
  <c r="E6" i="6"/>
  <c r="E7" i="6"/>
  <c r="E8" i="6"/>
  <c r="E9" i="6"/>
  <c r="E11" i="6"/>
  <c r="E17" i="6"/>
  <c r="F17" i="6" s="1"/>
  <c r="E18" i="6"/>
  <c r="F18" i="6" s="1"/>
  <c r="E19" i="6"/>
  <c r="F19" i="6" s="1"/>
  <c r="E20" i="6"/>
  <c r="F20" i="6" s="1"/>
  <c r="E21" i="6"/>
  <c r="F21" i="6" s="1"/>
  <c r="E23" i="6"/>
  <c r="F23" i="6" s="1"/>
  <c r="E4" i="6"/>
  <c r="Q35" i="7" l="1"/>
  <c r="Q49" i="7"/>
  <c r="Q34" i="7"/>
  <c r="Q42" i="7"/>
  <c r="Q36" i="7"/>
  <c r="Q56" i="7"/>
  <c r="Q45" i="7"/>
  <c r="Q44" i="7"/>
  <c r="Q37" i="7"/>
  <c r="Q52" i="7"/>
  <c r="Q48" i="7"/>
  <c r="Q38" i="7"/>
  <c r="Q57" i="7"/>
  <c r="F12" i="6"/>
  <c r="F10" i="6"/>
  <c r="F11" i="6"/>
  <c r="F4" i="6"/>
  <c r="F9" i="6"/>
  <c r="F8" i="6"/>
  <c r="F7" i="6"/>
  <c r="F6" i="6"/>
  <c r="F5" i="6"/>
  <c r="A61" i="7" l="1" a="1"/>
  <c r="A61" i="7" s="1"/>
  <c r="H3" i="6" a="1"/>
  <c r="H3"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<sst xmlns="http://schemas.openxmlformats.org/spreadsheetml/2006/main" count="727" uniqueCount="239">
  <si>
    <t>Nombre</t>
  </si>
  <si>
    <t>Universidad Nacional Autónoma de México (UNAM)</t>
  </si>
  <si>
    <t>Tecnológico de Monterrey (ITESM)</t>
  </si>
  <si>
    <t>Universidad Panamericana (UP)</t>
  </si>
  <si>
    <t>Instituto Tecnológico Autonomo de México (ITAM)</t>
  </si>
  <si>
    <t>Instituto Politécnico Nacional (IPN)</t>
  </si>
  <si>
    <t>Universidad Anahuac</t>
  </si>
  <si>
    <t>Colegio de México</t>
  </si>
  <si>
    <t>Universidad Iberoamericana (UIA)</t>
  </si>
  <si>
    <t>Universidad Autónoma Metropolitana (UAM)</t>
  </si>
  <si>
    <t>Universidad de Guadalajara (UDG)</t>
  </si>
  <si>
    <t>Universidad de las Américas Puebla (UDLAP)</t>
  </si>
  <si>
    <t>Benemérita Universidad Autónoma de Puebla</t>
  </si>
  <si>
    <t>Universidad Autónoma Chapingo</t>
  </si>
  <si>
    <t>Universidad Autónoma de Guadalajara</t>
  </si>
  <si>
    <t>Universidad Autónoma de Nuevo León (UANL)</t>
  </si>
  <si>
    <t>Universidad Autónoma del Estado de Hidalgo</t>
  </si>
  <si>
    <t>Universidad Autónoma del Estado de México</t>
  </si>
  <si>
    <t>Universidad de Monterrey</t>
  </si>
  <si>
    <t>Universidad Jesuita de Guadalajara - ITESO</t>
  </si>
  <si>
    <t>Universidad Autónoma de Baja California</t>
  </si>
  <si>
    <t>Universidad de Guanajuato</t>
  </si>
  <si>
    <t>Universidad La Salle (ULSA)</t>
  </si>
  <si>
    <t>Universidad Autónoma de Queretaro (UAQ)</t>
  </si>
  <si>
    <t>Universidad Tecnológica de Queretaro</t>
  </si>
  <si>
    <t>Universidad Politécnica de Queretaro</t>
  </si>
  <si>
    <t>National Ranking (QS)</t>
  </si>
  <si>
    <t>Pscore =</t>
  </si>
  <si>
    <t>NR score</t>
  </si>
  <si>
    <t>Value</t>
  </si>
  <si>
    <t>Ranking</t>
  </si>
  <si>
    <t>NA</t>
  </si>
  <si>
    <t xml:space="preserve">NA </t>
  </si>
  <si>
    <t>P &lt; 1070</t>
  </si>
  <si>
    <t>Employability (Employer Reputation)</t>
  </si>
  <si>
    <t>ER score</t>
  </si>
  <si>
    <t>Pscore=</t>
  </si>
  <si>
    <t xml:space="preserve">P &gt; 23 </t>
  </si>
  <si>
    <t>Internationalization (International Faculty)</t>
  </si>
  <si>
    <t>Pscore</t>
  </si>
  <si>
    <t xml:space="preserve">P &gt; 13 </t>
  </si>
  <si>
    <t xml:space="preserve">Paper faculty (Citations per Faculty) </t>
  </si>
  <si>
    <t xml:space="preserve">Nombre </t>
  </si>
  <si>
    <t xml:space="preserve">PF score </t>
  </si>
  <si>
    <t>P &gt; 2.6</t>
  </si>
  <si>
    <t>Universidad</t>
  </si>
  <si>
    <t>Count</t>
  </si>
  <si>
    <t>TMOD</t>
  </si>
  <si>
    <t>P &gt; 30</t>
  </si>
  <si>
    <t xml:space="preserve">Enrollment (active student) [Matricula total] » ANUIES </t>
  </si>
  <si>
    <t>P &gt; 9300</t>
  </si>
  <si>
    <t>N. Graduate students [Egresados] » ANUIES</t>
  </si>
  <si>
    <t>P &gt; 1450</t>
  </si>
  <si>
    <t>N. SNI [Pendiente] [Padrón de investigadores]</t>
  </si>
  <si>
    <t>N. Patent Granted SIIES</t>
  </si>
  <si>
    <t xml:space="preserve">P &gt; 36 </t>
  </si>
  <si>
    <t xml:space="preserve">Value </t>
  </si>
  <si>
    <t>P &gt; 200</t>
  </si>
  <si>
    <t xml:space="preserve">Dual Programs [Modalidad de estudios Dual] » ANUIES </t>
  </si>
  <si>
    <t>NO</t>
  </si>
  <si>
    <t>SI</t>
  </si>
  <si>
    <t>P# = SI/NO</t>
  </si>
  <si>
    <t>P = "SI"</t>
  </si>
  <si>
    <t>National Ranking [1]</t>
  </si>
  <si>
    <t xml:space="preserve">Employability [2] </t>
  </si>
  <si>
    <t>Internationalization [3]</t>
  </si>
  <si>
    <t xml:space="preserve">Paper Faculty [4] </t>
  </si>
  <si>
    <t xml:space="preserve">Enrollment [5] </t>
  </si>
  <si>
    <t>N. Graduate Students [6]</t>
  </si>
  <si>
    <t>N. SIN [7]</t>
  </si>
  <si>
    <t>N. Patent Granted [8]</t>
  </si>
  <si>
    <t>Dual Programs [9]</t>
  </si>
  <si>
    <t>My Success [10]</t>
  </si>
  <si>
    <t xml:space="preserve">Dato </t>
  </si>
  <si>
    <t>QS RANKING</t>
  </si>
  <si>
    <t>SIIES / ANUIES Ranking</t>
  </si>
  <si>
    <t>Valor mayor</t>
  </si>
  <si>
    <t>Valor menor</t>
  </si>
  <si>
    <t>[1]</t>
  </si>
  <si>
    <t>[2]</t>
  </si>
  <si>
    <t>[3]</t>
  </si>
  <si>
    <t>[4]</t>
  </si>
  <si>
    <t>[5]</t>
  </si>
  <si>
    <t>[6]</t>
  </si>
  <si>
    <t>[7]</t>
  </si>
  <si>
    <t>[8]</t>
  </si>
  <si>
    <t>[9]</t>
  </si>
  <si>
    <t>[10]</t>
  </si>
  <si>
    <t xml:space="preserve">Total </t>
  </si>
  <si>
    <t>Prom</t>
  </si>
  <si>
    <t>Normalización por rango</t>
  </si>
  <si>
    <t xml:space="preserve">FILTROS </t>
  </si>
  <si>
    <t xml:space="preserve">Entidad Federativa </t>
  </si>
  <si>
    <t>Sostenimiento</t>
  </si>
  <si>
    <t xml:space="preserve">Campo amplio de formación </t>
  </si>
  <si>
    <t xml:space="preserve">Jalisco </t>
  </si>
  <si>
    <t xml:space="preserve">Particular </t>
  </si>
  <si>
    <t xml:space="preserve">Administración y negocios </t>
  </si>
  <si>
    <t xml:space="preserve">Público </t>
  </si>
  <si>
    <t>Agronomía y veterinaria</t>
  </si>
  <si>
    <t>Municipios (Todos)</t>
  </si>
  <si>
    <t xml:space="preserve">Artes y humanindades </t>
  </si>
  <si>
    <t>14-JAL-Ameca</t>
  </si>
  <si>
    <t xml:space="preserve">Subsistema </t>
  </si>
  <si>
    <t>Ciencias de la salud</t>
  </si>
  <si>
    <t>14-JAL-Autlán de Navarro</t>
  </si>
  <si>
    <t>Centro de investigación CONAHCYT</t>
  </si>
  <si>
    <t xml:space="preserve">Ciencias naturales, matemáticas y estadística </t>
  </si>
  <si>
    <t>14-JAL-Chapala</t>
  </si>
  <si>
    <t>Instituciones Particulares</t>
  </si>
  <si>
    <t>Ciencias sociales y derecho</t>
  </si>
  <si>
    <t>14-JAL-Cihuatlán</t>
  </si>
  <si>
    <t xml:space="preserve">Otras IES Públicas </t>
  </si>
  <si>
    <t>Educación</t>
  </si>
  <si>
    <t xml:space="preserve">14-JAL-Cocula </t>
  </si>
  <si>
    <t xml:space="preserve">Unidades Descentralizadas del Tecnológico Nacional de México </t>
  </si>
  <si>
    <t>Ingeniería, manufactura y construcción</t>
  </si>
  <si>
    <t xml:space="preserve">14-JAL-Colotlán </t>
  </si>
  <si>
    <t xml:space="preserve">Unidades Fderales del Tecnológico Nacional de México </t>
  </si>
  <si>
    <t xml:space="preserve">Servicios </t>
  </si>
  <si>
    <t>14-JAL-El Grullo</t>
  </si>
  <si>
    <t xml:space="preserve">Universidades Politécnicas </t>
  </si>
  <si>
    <t>Tecnologías de la información y comunicación</t>
  </si>
  <si>
    <t xml:space="preserve">14-JAL-Guadalajara </t>
  </si>
  <si>
    <t xml:space="preserve">Universidades Públicas Estatales </t>
  </si>
  <si>
    <t>14-JAL-La Huerta</t>
  </si>
  <si>
    <t xml:space="preserve">Universidades Tecnológicas </t>
  </si>
  <si>
    <t>Campo especifico de formación</t>
  </si>
  <si>
    <t>14-JAL-Lagos de Moreno</t>
  </si>
  <si>
    <t>Arquitectura y construcción</t>
  </si>
  <si>
    <t xml:space="preserve">14-JAL-Magdalena </t>
  </si>
  <si>
    <t xml:space="preserve">Institución ANUIES </t>
  </si>
  <si>
    <t xml:space="preserve">Ciencias biológicas y ambientales </t>
  </si>
  <si>
    <t>14-JAL-Mascota</t>
  </si>
  <si>
    <t xml:space="preserve">Instituciones asociadas a la ANUIES </t>
  </si>
  <si>
    <t xml:space="preserve">Ciencias fisicas, químicas y de la tierra </t>
  </si>
  <si>
    <t>14-JAL-Ocotlán</t>
  </si>
  <si>
    <t xml:space="preserve">Instituciones NO asociadas a la ANUIES </t>
  </si>
  <si>
    <t xml:space="preserve">Implementación de las tecnologías de la información y la comunicación </t>
  </si>
  <si>
    <t>14-JAL-Puerto Vallarta</t>
  </si>
  <si>
    <t xml:space="preserve">Ingeniería mecánica, eléctrica, electronica, quimica y afines </t>
  </si>
  <si>
    <t>14-JAL-San Juan de los Lagos</t>
  </si>
  <si>
    <t xml:space="preserve">Nivel de estudios </t>
  </si>
  <si>
    <t xml:space="preserve">Innovación en tecnologías de la información y la comunicación </t>
  </si>
  <si>
    <t xml:space="preserve">14-JAL-San Pedro Tlaquepaque </t>
  </si>
  <si>
    <t xml:space="preserve">Doctorado </t>
  </si>
  <si>
    <t xml:space="preserve">Manufacturas y procesos </t>
  </si>
  <si>
    <t>14-JAL-Tala</t>
  </si>
  <si>
    <t xml:space="preserve">Especialidad </t>
  </si>
  <si>
    <t xml:space="preserve">Matematicas y estadística </t>
  </si>
  <si>
    <t>14-JAL-Tamazula de Gordiano</t>
  </si>
  <si>
    <t xml:space="preserve">Licenciatura Universitaria y Tecnológica </t>
  </si>
  <si>
    <t>14-JAL-Tepatitlán de Morelos</t>
  </si>
  <si>
    <t xml:space="preserve">Maestría </t>
  </si>
  <si>
    <t xml:space="preserve">Campo detallado de formación </t>
  </si>
  <si>
    <t>14-JAL-Tequila</t>
  </si>
  <si>
    <t xml:space="preserve">Técnico Superior </t>
  </si>
  <si>
    <t xml:space="preserve">Ciencias computacionales </t>
  </si>
  <si>
    <t xml:space="preserve">14-JAL-Tlajomulco de Zuñiga </t>
  </si>
  <si>
    <t xml:space="preserve">Ciencias de la tierra y de la atmosfera </t>
  </si>
  <si>
    <t>14-JAL-Tonalá</t>
  </si>
  <si>
    <t xml:space="preserve">Modalidad de estudios </t>
  </si>
  <si>
    <t xml:space="preserve">Desarrollo de hardware </t>
  </si>
  <si>
    <t>14-JAL-Zapopan</t>
  </si>
  <si>
    <t>Dual</t>
  </si>
  <si>
    <t xml:space="preserve">Desarrollo de software </t>
  </si>
  <si>
    <t xml:space="preserve">14-JAL-Zapotlán el Grande </t>
  </si>
  <si>
    <t>Escolarizada</t>
  </si>
  <si>
    <t>Electricidad y generación de energia</t>
  </si>
  <si>
    <t>14-JAL-Zapotlanejo</t>
  </si>
  <si>
    <t xml:space="preserve">Mixta </t>
  </si>
  <si>
    <t>Electrónica, automatización y aplicaciones de la mecánica-electrica</t>
  </si>
  <si>
    <t>Estadística y actuaria</t>
  </si>
  <si>
    <t>Fisica y astronomía</t>
  </si>
  <si>
    <t xml:space="preserve">Industria de la alimentación </t>
  </si>
  <si>
    <t>Industria de la minería, extracción y metalurgia</t>
  </si>
  <si>
    <t xml:space="preserve">Industria textil, del calzado y piel </t>
  </si>
  <si>
    <t>Industria de materiales diversos (cerámica, madera, plasticos, vidrio)</t>
  </si>
  <si>
    <t xml:space="preserve">Informática </t>
  </si>
  <si>
    <t xml:space="preserve">Ingenieria de procesos químicos </t>
  </si>
  <si>
    <t xml:space="preserve">Ingeniería industrial </t>
  </si>
  <si>
    <t>Matematicas</t>
  </si>
  <si>
    <t xml:space="preserve">Mecánica y profesiones afines al trabajo métalico </t>
  </si>
  <si>
    <t>Planes multidisciplinarios o generales del campo de ciencias fisicas, quimicas y de la tierra</t>
  </si>
  <si>
    <t>Planes multidisciplinarios o generales del campo de implementación de las tecnologías de la información y comunicación</t>
  </si>
  <si>
    <t xml:space="preserve">Planes multidisciplinarios o generales del campo de ingeniería mecánica, electrica, electronica, química y profesiones afines </t>
  </si>
  <si>
    <t xml:space="preserve">Planes multidisciplinarios o generales del campo de innovación en tecnologías de la información y la comunicación </t>
  </si>
  <si>
    <t xml:space="preserve">Planes multidisciplinarios o generales del campo de manufactura y procesos </t>
  </si>
  <si>
    <t xml:space="preserve">Quimica </t>
  </si>
  <si>
    <t>Soporte y servicios de mantenimiento a las tecnologias de información y comunicación</t>
  </si>
  <si>
    <t xml:space="preserve">Tecnología para la protección del medio ambiente </t>
  </si>
  <si>
    <t xml:space="preserve">Telecomunicaciones </t>
  </si>
  <si>
    <t xml:space="preserve">Vehículos, barcos y aeronaves motorizadas </t>
  </si>
  <si>
    <t>A las universidades que cumplen con los criterios establecidos  ( valor - "&lt;,&gt;,=" - promedio) se les evalua en la celda de la columna correspondiente [Value] con el número 1 si cumple o con el número 0 si no cumple</t>
  </si>
  <si>
    <t>Descripción</t>
  </si>
  <si>
    <t xml:space="preserve">Criterios de evaluación </t>
  </si>
  <si>
    <t xml:space="preserve">QS University Ranking </t>
  </si>
  <si>
    <t xml:space="preserve">National Ranking </t>
  </si>
  <si>
    <t xml:space="preserve">Posición de la Universidad en el top Ranking del QS (en Méx) / Reputación académica </t>
  </si>
  <si>
    <t xml:space="preserve">Employability </t>
  </si>
  <si>
    <t xml:space="preserve">Reputación entre empleadores - sobre egresados x c/universidad </t>
  </si>
  <si>
    <t xml:space="preserve">Internationalization </t>
  </si>
  <si>
    <t xml:space="preserve">Evalua la proporción de profesores y estudiantes internacionales </t>
  </si>
  <si>
    <r>
      <t xml:space="preserve">La internacionalización igual que en el caso anterior, lo considera en base al porcentaje del total, por lo cual se obtuvo el promedio del mismo obteniendo un valor de aprox ≈ </t>
    </r>
    <r>
      <rPr>
        <b/>
        <sz val="11"/>
        <color rgb="FFFF0000"/>
        <rFont val="Aptos Narrow"/>
        <family val="2"/>
        <scheme val="minor"/>
      </rPr>
      <t>12.95%</t>
    </r>
    <r>
      <rPr>
        <b/>
        <sz val="11"/>
        <color theme="1"/>
        <rFont val="Aptos Narrow"/>
        <family val="2"/>
        <scheme val="minor"/>
      </rPr>
      <t>. Por lo tanto, se considerarán las universidades que estén por encima de este rango</t>
    </r>
    <r>
      <rPr>
        <b/>
        <sz val="11"/>
        <color theme="9" tint="-0.249977111117893"/>
        <rFont val="Aptos Narrow"/>
        <family val="2"/>
        <scheme val="minor"/>
      </rPr>
      <t xml:space="preserve"> (x &gt; %13)</t>
    </r>
    <r>
      <rPr>
        <b/>
        <sz val="11"/>
        <color theme="1"/>
        <rFont val="Aptos Narrow"/>
        <family val="2"/>
        <scheme val="minor"/>
      </rPr>
      <t xml:space="preserve">. Se contemplarón </t>
    </r>
    <r>
      <rPr>
        <b/>
        <sz val="11"/>
        <color rgb="FFFF0000"/>
        <rFont val="Aptos Narrow"/>
        <family val="2"/>
        <scheme val="minor"/>
      </rPr>
      <t>6</t>
    </r>
    <r>
      <rPr>
        <b/>
        <sz val="11"/>
        <color theme="1"/>
        <rFont val="Aptos Narrow"/>
        <family val="2"/>
        <scheme val="minor"/>
      </rPr>
      <t xml:space="preserve"> universidades con esta condición.</t>
    </r>
  </si>
  <si>
    <t xml:space="preserve">Paper Faculty </t>
  </si>
  <si>
    <t xml:space="preserve">Mide la productividad investigadora bruta x Universidad - total de publicaciones cientificas / total de profesores </t>
  </si>
  <si>
    <r>
      <t xml:space="preserve">En esta medida nos ofrece una relación que existe entre el total de publicaciones con el Número total de profesores a tiempo completo de la universidad, por lo tanto no podriamos considerarlo  como un promedio, si no como un dato per se. El promedio aproximado de este análisis fue de ≈ </t>
    </r>
    <r>
      <rPr>
        <b/>
        <sz val="11"/>
        <color rgb="FFFF0000"/>
        <rFont val="Aptos Narrow"/>
        <family val="2"/>
        <scheme val="minor"/>
      </rPr>
      <t>2.58</t>
    </r>
    <r>
      <rPr>
        <b/>
        <sz val="11"/>
        <color theme="1"/>
        <rFont val="Aptos Narrow"/>
        <family val="2"/>
        <scheme val="minor"/>
      </rPr>
      <t>. Por lo cual, se considerarán a las universidades que estén por encima de este valor</t>
    </r>
    <r>
      <rPr>
        <b/>
        <sz val="11"/>
        <color theme="9" tint="-0.249977111117893"/>
        <rFont val="Aptos Narrow"/>
        <family val="2"/>
        <scheme val="minor"/>
      </rPr>
      <t xml:space="preserve"> (x &gt; 2.6)</t>
    </r>
    <r>
      <rPr>
        <b/>
        <sz val="11"/>
        <color theme="1"/>
        <rFont val="Aptos Narrow"/>
        <family val="2"/>
        <scheme val="minor"/>
      </rPr>
      <t xml:space="preserve">. se contemplarón a </t>
    </r>
    <r>
      <rPr>
        <b/>
        <sz val="11"/>
        <color rgb="FFFF0000"/>
        <rFont val="Aptos Narrow"/>
        <family val="2"/>
        <scheme val="minor"/>
      </rPr>
      <t>10</t>
    </r>
    <r>
      <rPr>
        <b/>
        <sz val="11"/>
        <color theme="1"/>
        <rFont val="Aptos Narrow"/>
        <family val="2"/>
        <scheme val="minor"/>
      </rPr>
      <t xml:space="preserve"> universidades que cumplen con este criterio. </t>
    </r>
  </si>
  <si>
    <t>SIES/ANUIES</t>
  </si>
  <si>
    <t xml:space="preserve">Enrollment </t>
  </si>
  <si>
    <t xml:space="preserve">Estudiantes activos por año escolar en curso </t>
  </si>
  <si>
    <t xml:space="preserve">N. graduate student </t>
  </si>
  <si>
    <t>Número de graduados por año escolar (pasado inmediato)</t>
  </si>
  <si>
    <t>N. SNI</t>
  </si>
  <si>
    <t xml:space="preserve">Número de SNI registrados por Universidad </t>
  </si>
  <si>
    <t xml:space="preserve">N. Patent Granted </t>
  </si>
  <si>
    <t xml:space="preserve">Número de patentes otorgadas por Universidad </t>
  </si>
  <si>
    <t xml:space="preserve">Dual Programs </t>
  </si>
  <si>
    <t xml:space="preserve">Universidades que cuenten con programas de Educación Dual (bajo los estatutos de las entidades gubernamentales) </t>
  </si>
  <si>
    <r>
      <t xml:space="preserve">Datos obtenidos de el ANUIES 2024-2025 en base a el filtro de eduación dual (Lo define como un sistema que integra la foración académica con la práctica laboral según los lineamiento secotriales). En este filtro, solo se pudo catalogar a la </t>
    </r>
    <r>
      <rPr>
        <b/>
        <sz val="11"/>
        <color rgb="FFFF0000"/>
        <rFont val="Aptos Narrow"/>
        <family val="2"/>
        <scheme val="minor"/>
      </rPr>
      <t>Universidad de Guadalajara</t>
    </r>
    <r>
      <rPr>
        <b/>
        <sz val="11"/>
        <color theme="1"/>
        <rFont val="Aptos Narrow"/>
        <family val="2"/>
        <scheme val="minor"/>
      </rPr>
      <t xml:space="preserve"> como la unica insititución de Educación Superior a Nivel nacional con la modalidad dual de forma oficial. </t>
    </r>
  </si>
  <si>
    <t xml:space="preserve"> [TMOD] </t>
  </si>
  <si>
    <t>My Success - Best Talent Academia Info</t>
  </si>
  <si>
    <t>Relevancia y presencia de la universidad en las localidades; empleados provenientes de esas universidades o empleados con educación continúa en esas universidades</t>
  </si>
  <si>
    <t>Normalización por rango [TABLA]</t>
  </si>
  <si>
    <t xml:space="preserve">Se convierten los valores originales de cada indicaodor en una escala común del 0 a 100 para poder comparar entre sí aunque tengan unidades o magnitudes distintas. 
En este caso, dentro del Ranking, tomamos los valores que tengan [Value] = 1 (que son los valores ya filtrados) y consideramos los valores reales de estos datos [Dato]. Por ejemplo: 
En la tabla de la derecha, obtenemos el ranking de los valores del «National Ranking» y obtenemos 7 valores (universidades) en total.
Para poder normalizar por rango estos valores, debemos considerar un valor minimo y un valor maximo, en este caso tomaremos el lugar [1] del ranking como el valor Máximo y el lugar [7] como el valor minimo del ranking. 
Valor minimo = 29.70 = 0
Valor máximo = 95.90 = 100 
Para poder normalizar el rango, usamos la siguiente formula:
 </t>
  </si>
  <si>
    <t xml:space="preserve">Valores normalizados </t>
  </si>
  <si>
    <t xml:space="preserve">Una vez que se tienen todos los datos normalizados de todos los criterios (en este caso, 7 criterios en el [2]) se hace la suma de todos los valores normalizados por cada universidad y se divide entre el número de criterios para poder obtener una ponderación/calificación de cada universidad.
</t>
  </si>
  <si>
    <r>
      <t xml:space="preserve">Se sumarón todos los datos del NR score obtenidos en este rubro y se obtuvo un promedio del mismo de aprox </t>
    </r>
    <r>
      <rPr>
        <b/>
        <sz val="11"/>
        <color theme="1"/>
        <rFont val="Aptos Narrow"/>
        <family val="2"/>
      </rPr>
      <t>≈</t>
    </r>
    <r>
      <rPr>
        <b/>
        <sz val="11"/>
        <color rgb="FFFF0000"/>
        <rFont val="Aptos Narrow"/>
        <family val="2"/>
      </rPr>
      <t>1070</t>
    </r>
    <r>
      <rPr>
        <b/>
        <sz val="11"/>
        <color theme="1"/>
        <rFont val="Aptos Narrow"/>
        <family val="2"/>
      </rPr>
      <t>. Por lo tanto, solo se consideran las Universidades que estén por debajo de este valor</t>
    </r>
    <r>
      <rPr>
        <b/>
        <sz val="11"/>
        <color theme="9" tint="-0.249977111117893"/>
        <rFont val="Aptos Narrow"/>
        <family val="2"/>
      </rPr>
      <t xml:space="preserve"> (x &lt; 1070)</t>
    </r>
    <r>
      <rPr>
        <b/>
        <sz val="11"/>
        <color theme="1"/>
        <rFont val="Aptos Narrow"/>
        <family val="2"/>
        <scheme val="minor"/>
      </rPr>
      <t>. Se contemplarón</t>
    </r>
    <r>
      <rPr>
        <b/>
        <sz val="11"/>
        <color rgb="FFFF0000"/>
        <rFont val="Aptos Narrow"/>
        <family val="2"/>
        <scheme val="minor"/>
      </rPr>
      <t xml:space="preserve"> 9 </t>
    </r>
    <r>
      <rPr>
        <b/>
        <sz val="11"/>
        <color theme="1"/>
        <rFont val="Aptos Narrow"/>
        <family val="2"/>
        <scheme val="minor"/>
      </rPr>
      <t>universidades con esta condición.</t>
    </r>
  </si>
  <si>
    <r>
      <t xml:space="preserve">La reputación en este caso lo considera como un porcentaje (%) del total, por lo cual se seguió el mismo proceso de obtener el promedio del mismo de aprox ≈ </t>
    </r>
    <r>
      <rPr>
        <b/>
        <sz val="11"/>
        <color rgb="FFFF0000"/>
        <rFont val="Aptos Narrow"/>
        <family val="2"/>
        <scheme val="minor"/>
      </rPr>
      <t>23</t>
    </r>
    <r>
      <rPr>
        <b/>
        <sz val="11"/>
        <color theme="1"/>
        <rFont val="Aptos Narrow"/>
        <family val="2"/>
        <scheme val="minor"/>
      </rPr>
      <t>. Por lo cual, se considerarán las universidades que estén por encima de este rango</t>
    </r>
    <r>
      <rPr>
        <b/>
        <sz val="11"/>
        <color theme="9" tint="-0.249977111117893"/>
        <rFont val="Aptos Narrow"/>
        <family val="2"/>
        <scheme val="minor"/>
      </rPr>
      <t xml:space="preserve"> (x &gt; 23%)</t>
    </r>
    <r>
      <rPr>
        <b/>
        <sz val="11"/>
        <color theme="1"/>
        <rFont val="Aptos Narrow"/>
        <family val="2"/>
        <scheme val="minor"/>
      </rPr>
      <t>. Se contemplaron</t>
    </r>
    <r>
      <rPr>
        <b/>
        <sz val="11"/>
        <color rgb="FFFF0000"/>
        <rFont val="Aptos Narrow"/>
        <family val="2"/>
        <scheme val="minor"/>
      </rPr>
      <t xml:space="preserve"> 7 </t>
    </r>
    <r>
      <rPr>
        <b/>
        <sz val="11"/>
        <color theme="1"/>
        <rFont val="Aptos Narrow"/>
        <family val="2"/>
        <scheme val="minor"/>
      </rPr>
      <t xml:space="preserve">universidades con está condición. </t>
    </r>
  </si>
  <si>
    <r>
      <t xml:space="preserve">En este rubro, tenemos el número total de estudiantes activos totales por universidad. este dato se obtuvo de la base de datos del ANUIES del 2024-2025 del filtro de [Matricula total]. Se obtuvo el promedio de la matricula de las universidades a evaluar y se obtuvo un promedio de ≈ </t>
    </r>
    <r>
      <rPr>
        <b/>
        <sz val="11"/>
        <color rgb="FFFF0000"/>
        <rFont val="Aptos Narrow"/>
        <family val="2"/>
        <scheme val="minor"/>
      </rPr>
      <t>9,300</t>
    </r>
    <r>
      <rPr>
        <b/>
        <sz val="11"/>
        <color theme="1"/>
        <rFont val="Aptos Narrow"/>
        <family val="2"/>
        <scheme val="minor"/>
      </rPr>
      <t xml:space="preserve">. Se considerarán las universidades que tengan una matricula mayor a 9,300 estudiantes, debido a que hay universidades que no difieren mucho del valor promedio, pero son menores, por eso este valor </t>
    </r>
    <r>
      <rPr>
        <b/>
        <sz val="11"/>
        <color theme="9" tint="-0.249977111117893"/>
        <rFont val="Aptos Narrow"/>
        <family val="2"/>
        <scheme val="minor"/>
      </rPr>
      <t>(x &lt; 9,300)</t>
    </r>
    <r>
      <rPr>
        <b/>
        <sz val="11"/>
        <color theme="1"/>
        <rFont val="Aptos Narrow"/>
        <family val="2"/>
        <scheme val="minor"/>
      </rPr>
      <t xml:space="preserve">. Se contemplarón </t>
    </r>
    <r>
      <rPr>
        <b/>
        <sz val="11"/>
        <color rgb="FFFF0000"/>
        <rFont val="Aptos Narrow"/>
        <family val="2"/>
        <scheme val="minor"/>
      </rPr>
      <t>9</t>
    </r>
    <r>
      <rPr>
        <b/>
        <sz val="11"/>
        <color theme="1"/>
        <rFont val="Aptos Narrow"/>
        <family val="2"/>
        <scheme val="minor"/>
      </rPr>
      <t xml:space="preserve"> universidades.</t>
    </r>
  </si>
  <si>
    <r>
      <t>El número de graduados por año escolar se obtuvo de la base de datos del ANUIES 2024-2025 del filtro de [Egresados] basado en el año anterior inmediato. Se obtuvo un promedio de ≈</t>
    </r>
    <r>
      <rPr>
        <b/>
        <sz val="11"/>
        <color rgb="FFFF0000"/>
        <rFont val="Aptos Narrow"/>
        <family val="2"/>
        <scheme val="minor"/>
      </rPr>
      <t xml:space="preserve">1,450 </t>
    </r>
    <r>
      <rPr>
        <b/>
        <sz val="11"/>
        <color theme="1"/>
        <rFont val="Aptos Narrow"/>
        <family val="2"/>
        <scheme val="minor"/>
      </rPr>
      <t xml:space="preserve">en las universidades analizadas. Por esto, consideraremos a universidades que tengan un número de egresados mayor a 1,450 </t>
    </r>
    <r>
      <rPr>
        <b/>
        <sz val="11"/>
        <color theme="9" tint="-0.249977111117893"/>
        <rFont val="Aptos Narrow"/>
        <family val="2"/>
        <scheme val="minor"/>
      </rPr>
      <t>(x &gt; 1,450),</t>
    </r>
    <r>
      <rPr>
        <b/>
        <sz val="11"/>
        <color theme="1"/>
        <rFont val="Aptos Narrow"/>
        <family val="2"/>
        <scheme val="minor"/>
      </rPr>
      <t xml:space="preserve"> debido a que una universidad no difiere mucho del valor promedio, pero es menor. Se mapearón </t>
    </r>
    <r>
      <rPr>
        <b/>
        <sz val="11"/>
        <color rgb="FFFF0000"/>
        <rFont val="Aptos Narrow"/>
        <family val="2"/>
        <scheme val="minor"/>
      </rPr>
      <t>6</t>
    </r>
    <r>
      <rPr>
        <b/>
        <sz val="11"/>
        <color theme="1"/>
        <rFont val="Aptos Narrow"/>
        <family val="2"/>
        <scheme val="minor"/>
      </rPr>
      <t xml:space="preserve"> universidades con estos valores. </t>
    </r>
  </si>
  <si>
    <r>
      <t>Datos obtenidos del padrón de la base de datos del "Sistema Nacional de Investigadores" del 2025 enfocado en áreas de Ciencia y Tecnología. Se obtuvo el total de investigadores registrados en el SNI por universidad y se obtuvo un promedio de las unviersidades a evaluar y se obtuvo un promedio de ≈</t>
    </r>
    <r>
      <rPr>
        <b/>
        <sz val="11"/>
        <color rgb="FFFF0000"/>
        <rFont val="Aptos Narrow"/>
        <family val="2"/>
        <scheme val="minor"/>
      </rPr>
      <t xml:space="preserve"> 203 </t>
    </r>
    <r>
      <rPr>
        <b/>
        <sz val="11"/>
        <color theme="1"/>
        <rFont val="Aptos Narrow"/>
        <family val="2"/>
        <scheme val="minor"/>
      </rPr>
      <t xml:space="preserve">investigadores. Se considererán a las universidades que tengan más de 200 investigadores registrados ante el SNI </t>
    </r>
    <r>
      <rPr>
        <b/>
        <sz val="11"/>
        <color theme="9" tint="-0.249977111117893"/>
        <rFont val="Aptos Narrow"/>
        <family val="2"/>
        <scheme val="minor"/>
      </rPr>
      <t>(x &gt; 200)</t>
    </r>
    <r>
      <rPr>
        <b/>
        <sz val="11"/>
        <color theme="1"/>
        <rFont val="Aptos Narrow"/>
        <family val="2"/>
        <scheme val="minor"/>
      </rPr>
      <t xml:space="preserve">. Se considerarón </t>
    </r>
    <r>
      <rPr>
        <b/>
        <sz val="11"/>
        <color rgb="FFFF0000"/>
        <rFont val="Aptos Narrow"/>
        <family val="2"/>
        <scheme val="minor"/>
      </rPr>
      <t>9</t>
    </r>
    <r>
      <rPr>
        <b/>
        <sz val="11"/>
        <color theme="1"/>
        <rFont val="Aptos Narrow"/>
        <family val="2"/>
        <scheme val="minor"/>
      </rPr>
      <t xml:space="preserve"> universidades utilizando este filtro. </t>
    </r>
  </si>
  <si>
    <r>
      <t>Datos obtenidos del SIES de la UNAM. Se filtrarón los valores por cada insitutción y se buscó el número de patentes totales otorgadas a cada unviersidad. Se obtuvo un promedio total de patentes otorgadas por universidad de ≈</t>
    </r>
    <r>
      <rPr>
        <b/>
        <sz val="11"/>
        <color rgb="FFFF0000"/>
        <rFont val="Aptos Narrow"/>
        <family val="2"/>
        <scheme val="minor"/>
      </rPr>
      <t xml:space="preserve"> 36.52</t>
    </r>
    <r>
      <rPr>
        <b/>
        <sz val="11"/>
        <color theme="1"/>
        <rFont val="Aptos Narrow"/>
        <family val="2"/>
        <scheme val="minor"/>
      </rPr>
      <t xml:space="preserve"> patentes. Se considera a las universidades que tengan más de 36 patentes otorgadas hasta el año 2025</t>
    </r>
    <r>
      <rPr>
        <b/>
        <sz val="11"/>
        <color theme="9" tint="-0.249977111117893"/>
        <rFont val="Aptos Narrow"/>
        <family val="2"/>
        <scheme val="minor"/>
      </rPr>
      <t xml:space="preserve"> (x &gt; 36)</t>
    </r>
    <r>
      <rPr>
        <b/>
        <sz val="11"/>
        <color theme="1"/>
        <rFont val="Aptos Narrow"/>
        <family val="2"/>
        <scheme val="minor"/>
      </rPr>
      <t xml:space="preserve">. Se contemplan </t>
    </r>
    <r>
      <rPr>
        <b/>
        <sz val="11"/>
        <color rgb="FFFF0000"/>
        <rFont val="Aptos Narrow"/>
        <family val="2"/>
        <scheme val="minor"/>
      </rPr>
      <t>8</t>
    </r>
    <r>
      <rPr>
        <b/>
        <sz val="11"/>
        <color theme="1"/>
        <rFont val="Aptos Narrow"/>
        <family val="2"/>
        <scheme val="minor"/>
      </rPr>
      <t xml:space="preserve"> universidades que cumplen con este criterio </t>
    </r>
  </si>
  <si>
    <r>
      <t>Los Datos fuerón obtenidos del documento  "BaseRH TrabajoRanking.xlsx" de vinculación. Se filtrarón los valres de cada una de las universidades para poder obtener el numero total de empleados de cada una de las 25 universidades que tenemos mapeadas. Se obtuvo un promedio total de ≈</t>
    </r>
    <r>
      <rPr>
        <b/>
        <sz val="11"/>
        <color rgb="FFFF0000"/>
        <rFont val="Aptos Narrow"/>
        <family val="2"/>
        <scheme val="minor"/>
      </rPr>
      <t xml:space="preserve"> 38.36</t>
    </r>
    <r>
      <rPr>
        <b/>
        <sz val="11"/>
        <color theme="1"/>
        <rFont val="Aptos Narrow"/>
        <family val="2"/>
        <scheme val="minor"/>
      </rPr>
      <t xml:space="preserve"> estudiantes por universidad. Se considera a las universidades que tengan más de 30 </t>
    </r>
    <r>
      <rPr>
        <b/>
        <sz val="11"/>
        <color theme="6"/>
        <rFont val="Aptos Narrow"/>
        <family val="2"/>
        <scheme val="minor"/>
      </rPr>
      <t>(x &gt; 30)</t>
    </r>
    <r>
      <rPr>
        <b/>
        <sz val="11"/>
        <color theme="1"/>
        <rFont val="Aptos Narrow"/>
        <family val="2"/>
        <scheme val="minor"/>
      </rPr>
      <t xml:space="preserve"> alumnos en las localidades. Se contemplaron un total de</t>
    </r>
    <r>
      <rPr>
        <b/>
        <sz val="11"/>
        <color rgb="FFFF0000"/>
        <rFont val="Aptos Narrow"/>
        <family val="2"/>
        <scheme val="minor"/>
      </rPr>
      <t xml:space="preserve"> 10</t>
    </r>
    <r>
      <rPr>
        <b/>
        <sz val="11"/>
        <color theme="1"/>
        <rFont val="Aptos Narrow"/>
        <family val="2"/>
        <scheme val="minor"/>
      </rPr>
      <t xml:space="preserve"> universidades en total</t>
    </r>
  </si>
  <si>
    <r>
      <t xml:space="preserve">Databases 
ANUIES: 
</t>
    </r>
    <r>
      <rPr>
        <sz val="11"/>
        <color theme="3" tint="9.9978637043366805E-2"/>
        <rFont val="Aptos Narrow"/>
        <family val="2"/>
        <scheme val="minor"/>
      </rPr>
      <t>"\\automotive-wan.com\SMT\didt6810\Vinculacion\AUMOVIO\5. Proyectos Estratégicos\1. Top Ranking de Universidades\Documentación\Anuario_Educacion_Superior_2024-2025.xlsm"</t>
    </r>
    <r>
      <rPr>
        <sz val="11"/>
        <color theme="1"/>
        <rFont val="Aptos Narrow"/>
        <family val="2"/>
        <scheme val="minor"/>
      </rPr>
      <t xml:space="preserve">
Base de datos de matricula y egresados ANUIES: </t>
    </r>
    <r>
      <rPr>
        <sz val="11"/>
        <color theme="3" tint="9.9978637043366805E-2"/>
        <rFont val="Aptos Narrow"/>
        <family val="2"/>
        <scheme val="minor"/>
      </rPr>
      <t>"\\automotive-wan.com\SMT\didt6810\Vinculacion\AUMOVIO\5. Proyectos Estratégicos\1. Top Ranking de Universidades\Documentación\Base de datos de Matricula-egresados_ANUIIES.xlsx"</t>
    </r>
    <r>
      <rPr>
        <sz val="11"/>
        <color theme="1"/>
        <rFont val="Aptos Narrow"/>
        <family val="2"/>
        <scheme val="minor"/>
      </rPr>
      <t xml:space="preserve">
SIES: </t>
    </r>
    <r>
      <rPr>
        <sz val="11"/>
        <color theme="3" tint="9.9978637043366805E-2"/>
        <rFont val="Aptos Narrow"/>
        <family val="2"/>
        <scheme val="minor"/>
      </rPr>
      <t>https://www.siies.unam.mx/inicioM.php</t>
    </r>
    <r>
      <rPr>
        <sz val="11"/>
        <color theme="1"/>
        <rFont val="Aptos Narrow"/>
        <family val="2"/>
        <scheme val="minor"/>
      </rPr>
      <t xml:space="preserve">
QS: </t>
    </r>
    <r>
      <rPr>
        <sz val="11"/>
        <color theme="3" tint="9.9978637043366805E-2"/>
        <rFont val="Aptos Narrow"/>
        <family val="2"/>
        <scheme val="minor"/>
      </rPr>
      <t xml:space="preserve">https://www.topuniversities.com/
</t>
    </r>
    <r>
      <rPr>
        <sz val="11"/>
        <color theme="1"/>
        <rFont val="Aptos Narrow"/>
        <family val="2"/>
        <scheme val="minor"/>
      </rPr>
      <t xml:space="preserve">
QS Database: 
</t>
    </r>
    <r>
      <rPr>
        <sz val="11"/>
        <color theme="3" tint="9.9978637043366805E-2"/>
        <rFont val="Aptos Narrow"/>
        <family val="2"/>
        <scheme val="minor"/>
      </rPr>
      <t>"\\automotive-wan.com\SMT\didt6810\Vinculacion\AUMOVIO\5. Proyectos Estratégicos\1. Top Ranking de Universidades\Documentación\2026 QS World University Ranking LIAISON.xlsx"</t>
    </r>
    <r>
      <rPr>
        <sz val="11"/>
        <color theme="1"/>
        <rFont val="Aptos Narrow"/>
        <family val="2"/>
        <scheme val="minor"/>
      </rPr>
      <t xml:space="preserve">
Padrón del sistema nacional de investigadores: </t>
    </r>
    <r>
      <rPr>
        <sz val="11"/>
        <color theme="3" tint="9.9978637043366805E-2"/>
        <rFont val="Aptos Narrow"/>
        <family val="2"/>
        <scheme val="minor"/>
      </rPr>
      <t>"\\automotive-wan.com\SMT\didt6810\Vinculacion\AUMOVIO\5. Proyectos Estratégicos\1. Top Ranking de Universidades\Documentación\Padron_de_Investigadores_Vigentes_2024.xlsx"</t>
    </r>
    <r>
      <rPr>
        <sz val="11"/>
        <color theme="1"/>
        <rFont val="Aptos Narrow"/>
        <family val="2"/>
        <scheme val="minor"/>
      </rPr>
      <t xml:space="preserve">
Base de daos de TMOD "My Success - Best Talent Academia Info": 
</t>
    </r>
    <r>
      <rPr>
        <sz val="11"/>
        <color theme="3" tint="9.9978637043366805E-2"/>
        <rFont val="Aptos Narrow"/>
        <family val="2"/>
        <scheme val="minor"/>
      </rPr>
      <t>"\\automotive-wan.com\SMT\didt6810\Vinculacion\AUMOVIO\5. Proyectos Estratégicos\1. Top Ranking de Universidades\Documentación\BaseRH-TrabajoRanking.xlsx"</t>
    </r>
  </si>
  <si>
    <t>P &gt; 27</t>
  </si>
  <si>
    <t>SNI's</t>
  </si>
  <si>
    <t>SNI's  [11]</t>
  </si>
  <si>
    <t>Dato</t>
  </si>
  <si>
    <t>[11]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</si>
</sst>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8"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1"/>
      <name val="Aptos Narrow"/>
      <family val="2"/>
      <scheme val="minor"/>
    </font>
    <font>
      <sz val="8"/>
      <color theme="1"/>
      <name val="Aptos Narrow"/>
      <family val="2"/>
      <scheme val="minor"/>
    </font>
    <font>
      <sz val="11"/>
      <color theme="0"/>
      <name val="Aptos Narrow"/>
      <family val="2"/>
      <scheme val="minor"/>
    </font>
    <font>
      <b/>
      <sz val="14"/>
      <color theme="1"/>
      <name val="Aptos Narrow"/>
      <family val="2"/>
      <scheme val="minor"/>
    </font>
    <font>
      <b/>
      <sz val="18"/>
      <color theme="1"/>
      <name val="Aptos Narrow"/>
      <family val="2"/>
      <scheme val="minor"/>
    </font>
    <font>
      <b/>
      <sz val="14"/>
      <color theme="9" tint="-0.249977111117893"/>
      <name val="Aptos Narrow"/>
      <family val="2"/>
      <scheme val="minor"/>
    </font>
    <font>
      <b/>
      <sz val="11"/>
      <color theme="1"/>
      <name val="Aptos Narrow"/>
      <family val="2"/>
    </font>
    <font>
      <b/>
      <sz val="11"/>
      <color rgb="FFFF0000"/>
      <name val="Aptos Narrow"/>
      <family val="2"/>
    </font>
    <font>
      <b/>
      <sz val="11"/>
      <color theme="9" tint="-0.249977111117893"/>
      <name val="Aptos Narrow"/>
      <family val="2"/>
    </font>
    <font>
      <b/>
      <sz val="11"/>
      <color rgb="FFFF0000"/>
      <name val="Aptos Narrow"/>
      <family val="2"/>
      <scheme val="minor"/>
    </font>
    <font>
      <b/>
      <sz val="11"/>
      <color theme="9" tint="-0.249977111117893"/>
      <name val="Aptos Narrow"/>
      <family val="2"/>
      <scheme val="minor"/>
    </font>
    <font>
      <b/>
      <sz val="11"/>
      <color rgb="FFC00000"/>
      <name val="Aptos Narrow"/>
      <family val="2"/>
      <scheme val="minor"/>
    </font>
    <font>
      <b/>
      <sz val="11"/>
      <color theme="6"/>
      <name val="Aptos Narrow"/>
      <family val="2"/>
      <scheme val="minor"/>
    </font>
    <font>
      <b/>
      <sz val="12"/>
      <color theme="0"/>
      <name val="Aptos Narrow"/>
      <family val="2"/>
      <scheme val="minor"/>
    </font>
    <font>
      <sz val="11"/>
      <color theme="3" tint="9.9978637043366805E-2"/>
      <name val="Aptos Narrow"/>
      <family val="2"/>
      <scheme val="minor"/>
    </font>
  </fonts>
  <fills count="15">
    <fill>
      <patternFill patternType="none"/>
    </fill>
    <fill>
      <patternFill patternType="gray125"/>
    </fill>
    <fill>
      <patternFill patternType="solid">
        <fgColor theme="8" tint="-0.249977111117893"/>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C00000"/>
        <bgColor indexed="64"/>
      </patternFill>
    </fill>
    <fill>
      <patternFill patternType="solid">
        <fgColor theme="1"/>
        <bgColor indexed="64"/>
      </patternFill>
    </fill>
    <fill>
      <patternFill patternType="solid">
        <fgColor theme="5"/>
        <bgColor indexed="64"/>
      </patternFill>
    </fill>
  </fills>
  <borders count="44">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3" fontId="3" fillId="0" borderId="0" applyFont="0" applyFill="0" applyBorder="0" applyAlignment="0" applyProtection="0"/>
  </cellStyleXfs>
  <cellXfs count="194">
    <xf numFmtId="0" fontId="0" fillId="0" borderId="0" xfId="0"/>
    <xf numFmtId="0" fontId="0" fillId="0" borderId="3" xfId="0" applyBorder="1"/>
    <xf numFmtId="0" fontId="0" fillId="0" borderId="4" xfId="0" applyBorder="1"/>
    <xf numFmtId="0" fontId="0" fillId="0" borderId="3" xfId="0" applyBorder="1" applyAlignment="1">
      <alignment vertical="center" wrapText="1"/>
    </xf>
    <xf numFmtId="0" fontId="0" fillId="0" borderId="4" xfId="0" applyFill="1" applyBorder="1" applyAlignment="1">
      <alignment horizontal="center"/>
    </xf>
    <xf numFmtId="0" fontId="0" fillId="0" borderId="4" xfId="0" applyFill="1" applyBorder="1" applyAlignment="1">
      <alignment horizontal="center" vertical="center"/>
    </xf>
    <xf numFmtId="0" fontId="0" fillId="0" borderId="5" xfId="0" applyBorder="1" applyAlignment="1">
      <alignment vertical="center" wrapText="1"/>
    </xf>
    <xf numFmtId="0" fontId="0" fillId="0" borderId="6" xfId="0" applyFill="1" applyBorder="1" applyAlignment="1">
      <alignment horizontal="center" vertical="center"/>
    </xf>
    <xf numFmtId="0" fontId="1" fillId="2" borderId="0" xfId="0" applyFont="1" applyFill="1"/>
    <xf numFmtId="0" fontId="0" fillId="3" borderId="0" xfId="0" applyFill="1"/>
    <xf numFmtId="0" fontId="0" fillId="0" borderId="3" xfId="0" applyBorder="1" applyAlignment="1">
      <alignment horizontal="left" vertical="top"/>
    </xf>
    <xf numFmtId="0" fontId="0" fillId="0" borderId="4" xfId="0" applyBorder="1" applyAlignment="1">
      <alignment horizontal="center" vertical="center"/>
    </xf>
    <xf numFmtId="0" fontId="0" fillId="0" borderId="6" xfId="0" applyBorder="1" applyAlignment="1">
      <alignment horizontal="center" vertical="center"/>
    </xf>
    <xf numFmtId="0" fontId="0" fillId="0" borderId="0" xfId="0"/>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3" xfId="0" applyBorder="1" applyAlignment="1">
      <alignment horizontal="left"/>
    </xf>
    <xf numFmtId="0" fontId="0" fillId="0" borderId="3" xfId="0" applyFill="1" applyBorder="1" applyAlignment="1">
      <alignment horizontal="left"/>
    </xf>
    <xf numFmtId="0" fontId="0" fillId="0" borderId="5" xfId="0" applyFill="1" applyBorder="1" applyAlignment="1">
      <alignment horizontal="left"/>
    </xf>
    <xf numFmtId="0" fontId="0" fillId="0" borderId="0" xfId="0" applyNumberFormat="1"/>
    <xf numFmtId="0" fontId="0" fillId="0" borderId="3" xfId="0" applyBorder="1" applyAlignment="1">
      <alignment horizontal="center" vertical="center"/>
    </xf>
    <xf numFmtId="0" fontId="0" fillId="0" borderId="0" xfId="0"/>
    <xf numFmtId="0" fontId="0" fillId="0" borderId="7" xfId="0" applyBorder="1"/>
    <xf numFmtId="0" fontId="0" fillId="0" borderId="12" xfId="0" applyNumberFormat="1" applyBorder="1"/>
    <xf numFmtId="0" fontId="0" fillId="0" borderId="8" xfId="0" applyBorder="1"/>
    <xf numFmtId="0" fontId="0" fillId="0" borderId="10" xfId="0" applyBorder="1"/>
    <xf numFmtId="0" fontId="0" fillId="0" borderId="9" xfId="0" applyNumberFormat="1" applyBorder="1"/>
    <xf numFmtId="0" fontId="0" fillId="0" borderId="11" xfId="0" applyNumberFormat="1" applyBorder="1"/>
    <xf numFmtId="43" fontId="0" fillId="0" borderId="12" xfId="0" applyNumberFormat="1" applyBorder="1"/>
    <xf numFmtId="0" fontId="0" fillId="0" borderId="11" xfId="0" applyNumberFormat="1" applyFill="1" applyBorder="1"/>
    <xf numFmtId="0" fontId="0" fillId="0" borderId="12" xfId="0" applyBorder="1"/>
    <xf numFmtId="0" fontId="0" fillId="0" borderId="9" xfId="0" applyBorder="1"/>
    <xf numFmtId="0" fontId="0" fillId="0" borderId="11" xfId="0" applyBorder="1"/>
    <xf numFmtId="0" fontId="2" fillId="0" borderId="4" xfId="1" applyNumberFormat="1" applyFont="1" applyBorder="1" applyAlignment="1">
      <alignment horizontal="center" vertical="center"/>
    </xf>
    <xf numFmtId="0" fontId="0" fillId="0" borderId="4" xfId="1" applyNumberFormat="1" applyFont="1" applyBorder="1" applyAlignment="1">
      <alignment horizontal="center" vertical="center"/>
    </xf>
    <xf numFmtId="0" fontId="0" fillId="0" borderId="4" xfId="1" applyNumberFormat="1" applyFont="1" applyFill="1" applyBorder="1" applyAlignment="1">
      <alignment horizontal="center" vertical="center"/>
    </xf>
    <xf numFmtId="0" fontId="0" fillId="0" borderId="6" xfId="1" applyNumberFormat="1" applyFont="1" applyFill="1" applyBorder="1" applyAlignment="1">
      <alignment horizontal="center" vertical="center"/>
    </xf>
    <xf numFmtId="0" fontId="0" fillId="0" borderId="4" xfId="1" applyNumberFormat="1" applyFont="1" applyBorder="1"/>
    <xf numFmtId="0" fontId="0" fillId="0" borderId="4" xfId="0" applyNumberFormat="1" applyBorder="1"/>
    <xf numFmtId="0" fontId="0" fillId="0" borderId="6" xfId="0" applyNumberFormat="1" applyBorder="1"/>
    <xf numFmtId="0" fontId="0" fillId="0" borderId="4" xfId="0" applyNumberFormat="1" applyBorder="1" applyAlignment="1">
      <alignment horizontal="center" vertical="center"/>
    </xf>
    <xf numFmtId="0" fontId="0" fillId="0" borderId="4" xfId="0" applyNumberFormat="1" applyBorder="1" applyAlignment="1">
      <alignment horizontal="right"/>
    </xf>
    <xf numFmtId="0" fontId="0" fillId="0" borderId="4" xfId="1" applyNumberFormat="1" applyFont="1" applyFill="1" applyBorder="1"/>
    <xf numFmtId="0" fontId="0" fillId="0" borderId="6" xfId="1" applyNumberFormat="1" applyFont="1" applyFill="1" applyBorder="1"/>
    <xf numFmtId="0" fontId="0" fillId="0" borderId="6" xfId="0" applyNumberFormat="1" applyBorder="1" applyAlignment="1">
      <alignment horizontal="center" vertical="center"/>
    </xf>
    <xf numFmtId="0" fontId="0" fillId="0" borderId="6" xfId="1" applyNumberFormat="1" applyFont="1" applyBorder="1"/>
    <xf numFmtId="0" fontId="0" fillId="6" borderId="0" xfId="0" applyFill="1"/>
    <xf numFmtId="0" fontId="0" fillId="0" borderId="0" xfId="0" applyFill="1"/>
    <xf numFmtId="0" fontId="0" fillId="0" borderId="14" xfId="0" applyBorder="1"/>
    <xf numFmtId="0" fontId="0" fillId="0" borderId="0" xfId="0" applyAlignment="1">
      <alignment horizontal="center" vertical="center"/>
    </xf>
    <xf numFmtId="0" fontId="0" fillId="0" borderId="18" xfId="0" applyBorder="1" applyAlignment="1">
      <alignment horizontal="center" vertical="center"/>
    </xf>
    <xf numFmtId="0" fontId="0" fillId="0" borderId="0" xfId="0" applyFill="1" applyBorder="1"/>
    <xf numFmtId="0" fontId="0" fillId="0" borderId="21" xfId="0" applyBorder="1" applyAlignment="1">
      <alignment horizontal="left"/>
    </xf>
    <xf numFmtId="0" fontId="0" fillId="0" borderId="21" xfId="0" applyFill="1" applyBorder="1" applyAlignment="1">
      <alignment horizontal="left"/>
    </xf>
    <xf numFmtId="0" fontId="0" fillId="0" borderId="22" xfId="0" applyFill="1" applyBorder="1" applyAlignment="1">
      <alignment horizontal="left"/>
    </xf>
    <xf numFmtId="0" fontId="0" fillId="7" borderId="18" xfId="0" applyFill="1" applyBorder="1"/>
    <xf numFmtId="0" fontId="0" fillId="0" borderId="18" xfId="0" applyBorder="1"/>
    <xf numFmtId="0" fontId="0" fillId="7" borderId="3" xfId="0" applyFill="1" applyBorder="1"/>
    <xf numFmtId="0" fontId="0" fillId="7" borderId="3" xfId="0" applyFill="1" applyBorder="1" applyAlignment="1">
      <alignment horizontal="right"/>
    </xf>
    <xf numFmtId="0" fontId="0" fillId="3" borderId="4" xfId="0" applyFill="1" applyBorder="1"/>
    <xf numFmtId="0" fontId="0" fillId="3" borderId="6" xfId="0" applyFill="1" applyBorder="1"/>
    <xf numFmtId="0" fontId="0" fillId="7" borderId="23" xfId="0" applyFill="1" applyBorder="1" applyAlignment="1">
      <alignment horizontal="right"/>
    </xf>
    <xf numFmtId="0" fontId="0" fillId="0" borderId="24" xfId="0" applyBorder="1"/>
    <xf numFmtId="0" fontId="4" fillId="7" borderId="1" xfId="0" applyFont="1" applyFill="1" applyBorder="1" applyAlignment="1">
      <alignment horizontal="left" vertical="top"/>
    </xf>
    <xf numFmtId="0" fontId="0" fillId="0" borderId="2" xfId="0" applyFill="1" applyBorder="1"/>
    <xf numFmtId="0" fontId="4" fillId="7" borderId="5" xfId="0" applyFont="1" applyFill="1" applyBorder="1" applyAlignment="1">
      <alignment horizontal="left" vertical="top"/>
    </xf>
    <xf numFmtId="0" fontId="0" fillId="0" borderId="6" xfId="0" applyFill="1" applyBorder="1"/>
    <xf numFmtId="0" fontId="0" fillId="7" borderId="25" xfId="0" applyFill="1" applyBorder="1"/>
    <xf numFmtId="0" fontId="0" fillId="0" borderId="25" xfId="0" applyBorder="1"/>
    <xf numFmtId="0" fontId="0" fillId="3" borderId="25" xfId="0" applyFill="1" applyBorder="1"/>
    <xf numFmtId="0" fontId="0" fillId="3" borderId="26" xfId="0" applyFill="1" applyBorder="1"/>
    <xf numFmtId="0" fontId="0" fillId="8" borderId="18" xfId="0" applyFill="1" applyBorder="1"/>
    <xf numFmtId="0" fontId="0" fillId="8" borderId="3" xfId="0" applyFill="1" applyBorder="1"/>
    <xf numFmtId="0" fontId="0" fillId="8" borderId="4" xfId="0" applyFill="1" applyBorder="1"/>
    <xf numFmtId="0" fontId="0" fillId="8" borderId="3" xfId="0" applyFill="1" applyBorder="1" applyAlignment="1">
      <alignment horizontal="right"/>
    </xf>
    <xf numFmtId="0" fontId="0" fillId="8" borderId="23" xfId="0" applyFill="1" applyBorder="1" applyAlignment="1">
      <alignment horizontal="right"/>
    </xf>
    <xf numFmtId="0" fontId="4" fillId="8" borderId="1" xfId="0" applyFont="1" applyFill="1" applyBorder="1" applyAlignment="1">
      <alignment horizontal="left" vertical="top"/>
    </xf>
    <xf numFmtId="0" fontId="0" fillId="0" borderId="2" xfId="0" applyBorder="1"/>
    <xf numFmtId="0" fontId="4" fillId="8" borderId="5" xfId="0" applyFont="1" applyFill="1" applyBorder="1" applyAlignment="1">
      <alignment horizontal="left" vertical="top"/>
    </xf>
    <xf numFmtId="0" fontId="0" fillId="0" borderId="6" xfId="0" applyBorder="1"/>
    <xf numFmtId="0" fontId="0" fillId="8" borderId="25" xfId="0" applyFill="1" applyBorder="1"/>
    <xf numFmtId="0" fontId="0" fillId="8" borderId="23" xfId="0" applyFill="1" applyBorder="1"/>
    <xf numFmtId="0" fontId="0" fillId="0" borderId="34" xfId="0" applyFont="1" applyBorder="1" applyAlignment="1">
      <alignment horizontal="left"/>
    </xf>
    <xf numFmtId="0" fontId="0" fillId="0" borderId="35" xfId="0" applyFont="1" applyBorder="1" applyAlignment="1">
      <alignment horizontal="left"/>
    </xf>
    <xf numFmtId="0" fontId="0" fillId="0" borderId="35" xfId="0" applyFont="1" applyFill="1" applyBorder="1" applyAlignment="1">
      <alignment horizontal="left"/>
    </xf>
    <xf numFmtId="0" fontId="0" fillId="0" borderId="36" xfId="0" applyFont="1" applyFill="1" applyBorder="1" applyAlignment="1">
      <alignment horizontal="left"/>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164" fontId="0" fillId="0" borderId="18" xfId="0" applyNumberFormat="1" applyBorder="1" applyAlignment="1">
      <alignment horizontal="center" vertical="center"/>
    </xf>
    <xf numFmtId="0" fontId="0" fillId="0" borderId="19" xfId="0" applyBorder="1"/>
    <xf numFmtId="164" fontId="0" fillId="0" borderId="20" xfId="0" applyNumberFormat="1" applyBorder="1" applyAlignment="1">
      <alignment horizontal="center" vertical="center"/>
    </xf>
    <xf numFmtId="0" fontId="0" fillId="0" borderId="20" xfId="0" applyBorder="1" applyAlignment="1">
      <alignment horizontal="center" vertical="center"/>
    </xf>
    <xf numFmtId="0" fontId="0" fillId="0" borderId="40" xfId="0" applyBorder="1" applyAlignment="1">
      <alignment horizontal="left"/>
    </xf>
    <xf numFmtId="0" fontId="5" fillId="12" borderId="13" xfId="0" applyFont="1" applyFill="1" applyBorder="1"/>
    <xf numFmtId="0" fontId="0" fillId="4" borderId="15" xfId="0" applyFill="1" applyBorder="1"/>
    <xf numFmtId="0" fontId="0" fillId="4" borderId="35" xfId="0" applyFill="1" applyBorder="1"/>
    <xf numFmtId="0" fontId="0" fillId="0" borderId="35" xfId="0" applyBorder="1"/>
    <xf numFmtId="0" fontId="0" fillId="4" borderId="36" xfId="0" applyFill="1" applyBorder="1"/>
    <xf numFmtId="0" fontId="5" fillId="12" borderId="34" xfId="0" applyFont="1" applyFill="1" applyBorder="1"/>
    <xf numFmtId="0" fontId="0" fillId="4" borderId="14" xfId="0" applyFill="1" applyBorder="1"/>
    <xf numFmtId="0" fontId="0" fillId="0" borderId="0" xfId="0" applyAlignment="1">
      <alignment wrapText="1"/>
    </xf>
    <xf numFmtId="0" fontId="2" fillId="0" borderId="1" xfId="0" applyFont="1" applyBorder="1" applyAlignment="1">
      <alignment wrapText="1"/>
    </xf>
    <xf numFmtId="0" fontId="6" fillId="0" borderId="19" xfId="0" applyFont="1" applyBorder="1" applyAlignment="1">
      <alignment horizontal="center" wrapText="1"/>
    </xf>
    <xf numFmtId="0" fontId="6" fillId="0" borderId="2" xfId="0" applyFont="1" applyBorder="1" applyAlignment="1">
      <alignment horizontal="center" wrapText="1"/>
    </xf>
    <xf numFmtId="0" fontId="2" fillId="0" borderId="3"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4" xfId="0" applyFont="1" applyBorder="1" applyAlignment="1">
      <alignment horizontal="center" vertical="center" wrapText="1"/>
    </xf>
    <xf numFmtId="0" fontId="2" fillId="13" borderId="16" xfId="0" applyFont="1" applyFill="1" applyBorder="1" applyAlignment="1">
      <alignment horizontal="center" vertical="center" wrapText="1"/>
    </xf>
    <xf numFmtId="0" fontId="2" fillId="13" borderId="0" xfId="0" applyFont="1" applyFill="1" applyAlignment="1">
      <alignment wrapText="1"/>
    </xf>
    <xf numFmtId="0" fontId="2" fillId="13" borderId="17" xfId="0" applyFont="1" applyFill="1" applyBorder="1"/>
    <xf numFmtId="0" fontId="14" fillId="0" borderId="3" xfId="0" applyFont="1" applyBorder="1" applyAlignment="1">
      <alignment horizontal="center" vertical="center" wrapText="1"/>
    </xf>
    <xf numFmtId="0" fontId="2" fillId="0" borderId="5"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6" xfId="0" applyFont="1" applyBorder="1" applyAlignment="1">
      <alignment horizontal="center" vertical="center" wrapText="1"/>
    </xf>
    <xf numFmtId="0" fontId="0" fillId="13" borderId="7" xfId="0" applyFill="1" applyBorder="1" applyAlignment="1">
      <alignment wrapText="1"/>
    </xf>
    <xf numFmtId="0" fontId="0" fillId="13" borderId="12" xfId="0" applyFill="1" applyBorder="1"/>
    <xf numFmtId="0" fontId="0" fillId="13" borderId="8" xfId="0" applyFill="1" applyBorder="1"/>
    <xf numFmtId="0" fontId="16" fillId="14" borderId="18" xfId="0" applyFont="1" applyFill="1" applyBorder="1" applyAlignment="1">
      <alignment horizontal="center" vertical="center"/>
    </xf>
    <xf numFmtId="0" fontId="0" fillId="0" borderId="18" xfId="0" applyBorder="1" applyAlignment="1">
      <alignment wrapText="1"/>
    </xf>
    <xf numFmtId="0" fontId="0" fillId="0" borderId="17" xfId="0" applyBorder="1" applyAlignment="1">
      <alignment horizontal="center" vertical="center"/>
    </xf>
    <xf numFmtId="0" fontId="0" fillId="7" borderId="5" xfId="0" applyFill="1" applyBorder="1" applyAlignment="1">
      <alignment horizontal="right"/>
    </xf>
    <xf numFmtId="0" fontId="0" fillId="7" borderId="37" xfId="0" applyFill="1" applyBorder="1"/>
    <xf numFmtId="0" fontId="0" fillId="7" borderId="13" xfId="0" applyFill="1" applyBorder="1"/>
    <xf numFmtId="0" fontId="0" fillId="7" borderId="1" xfId="0" applyFill="1" applyBorder="1" applyAlignment="1">
      <alignment horizontal="right"/>
    </xf>
    <xf numFmtId="0" fontId="0" fillId="0" borderId="20" xfId="0" applyBorder="1"/>
    <xf numFmtId="0" fontId="1" fillId="2" borderId="37" xfId="0" applyFont="1" applyFill="1" applyBorder="1"/>
    <xf numFmtId="0" fontId="1" fillId="2" borderId="38" xfId="0" applyFont="1" applyFill="1" applyBorder="1"/>
    <xf numFmtId="0" fontId="1" fillId="2" borderId="39" xfId="0" applyFont="1" applyFill="1" applyBorder="1"/>
    <xf numFmtId="0" fontId="2" fillId="0" borderId="0" xfId="0" applyFont="1" applyBorder="1"/>
    <xf numFmtId="0" fontId="0" fillId="0" borderId="7" xfId="0" applyBorder="1" applyAlignment="1">
      <alignment horizontal="center" vertical="center"/>
    </xf>
    <xf numFmtId="0" fontId="2" fillId="0" borderId="12" xfId="0" applyFont="1" applyBorder="1"/>
    <xf numFmtId="2" fontId="0" fillId="0" borderId="8" xfId="0" applyNumberFormat="1" applyBorder="1" applyAlignment="1">
      <alignment horizontal="center" vertical="center"/>
    </xf>
    <xf numFmtId="0" fontId="0" fillId="0" borderId="16" xfId="0" applyBorder="1" applyAlignment="1">
      <alignment horizontal="center" vertical="center"/>
    </xf>
    <xf numFmtId="2" fontId="0" fillId="0" borderId="17" xfId="0" applyNumberFormat="1" applyBorder="1" applyAlignment="1">
      <alignment horizontal="center" vertical="center"/>
    </xf>
    <xf numFmtId="0" fontId="0" fillId="0" borderId="10" xfId="0" applyBorder="1" applyAlignment="1">
      <alignment horizontal="center" vertical="center"/>
    </xf>
    <xf numFmtId="2" fontId="0" fillId="0" borderId="11" xfId="0" applyNumberFormat="1" applyBorder="1" applyAlignment="1">
      <alignment horizontal="center" vertical="center"/>
    </xf>
    <xf numFmtId="164" fontId="0" fillId="0" borderId="3" xfId="0" applyNumberFormat="1" applyBorder="1" applyAlignment="1">
      <alignment horizontal="center" vertical="center"/>
    </xf>
    <xf numFmtId="164" fontId="0" fillId="0" borderId="5" xfId="0" applyNumberFormat="1" applyBorder="1" applyAlignment="1">
      <alignment horizontal="center" vertical="center"/>
    </xf>
    <xf numFmtId="0" fontId="2" fillId="0" borderId="9" xfId="0" applyFont="1" applyBorder="1"/>
    <xf numFmtId="0" fontId="0" fillId="0" borderId="19" xfId="0" applyBorder="1" applyAlignment="1">
      <alignment horizontal="center" vertical="center"/>
    </xf>
    <xf numFmtId="0" fontId="0" fillId="0" borderId="2" xfId="0" applyBorder="1" applyAlignment="1">
      <alignment horizontal="center" vertical="center"/>
    </xf>
    <xf numFmtId="164" fontId="0" fillId="0" borderId="27" xfId="0" applyNumberFormat="1" applyBorder="1" applyAlignment="1">
      <alignment horizontal="center" vertical="center"/>
    </xf>
    <xf numFmtId="164" fontId="0" fillId="0" borderId="28" xfId="0" applyNumberFormat="1" applyBorder="1" applyAlignment="1">
      <alignment horizontal="center" vertical="center"/>
    </xf>
    <xf numFmtId="0" fontId="0" fillId="0" borderId="30" xfId="0" applyBorder="1"/>
    <xf numFmtId="0" fontId="0" fillId="0" borderId="5" xfId="0" applyBorder="1"/>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2" fillId="6" borderId="15" xfId="0" applyFont="1" applyFill="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xf>
    <xf numFmtId="0" fontId="2" fillId="0" borderId="2" xfId="0" applyFont="1" applyBorder="1" applyAlignment="1">
      <alignment horizontal="center"/>
    </xf>
    <xf numFmtId="0" fontId="2" fillId="0" borderId="1" xfId="0" applyFont="1" applyBorder="1" applyAlignment="1">
      <alignment horizontal="center" vertical="top"/>
    </xf>
    <xf numFmtId="0" fontId="0" fillId="0" borderId="2" xfId="0" applyBorder="1" applyAlignment="1">
      <alignment horizontal="center" vertical="top"/>
    </xf>
    <xf numFmtId="0" fontId="0" fillId="0" borderId="1" xfId="0" applyBorder="1" applyAlignment="1">
      <alignment horizontal="center"/>
    </xf>
    <xf numFmtId="0" fontId="0" fillId="0" borderId="2" xfId="0" applyBorder="1" applyAlignment="1">
      <alignment horizontal="center"/>
    </xf>
    <xf numFmtId="0" fontId="7" fillId="0" borderId="41" xfId="0" applyFont="1" applyBorder="1" applyAlignment="1">
      <alignment horizontal="center"/>
    </xf>
    <xf numFmtId="0" fontId="7" fillId="0" borderId="42" xfId="0" applyFont="1" applyBorder="1" applyAlignment="1">
      <alignment horizontal="center"/>
    </xf>
    <xf numFmtId="0" fontId="7" fillId="0" borderId="43" xfId="0" applyFont="1" applyBorder="1" applyAlignment="1">
      <alignment horizontal="center"/>
    </xf>
    <xf numFmtId="0" fontId="1" fillId="12" borderId="7" xfId="0" applyFont="1" applyFill="1" applyBorder="1" applyAlignment="1">
      <alignment horizontal="center" vertical="center" wrapText="1"/>
    </xf>
    <xf numFmtId="0" fontId="1" fillId="12" borderId="8" xfId="0" applyFont="1" applyFill="1" applyBorder="1" applyAlignment="1">
      <alignment horizontal="center" vertical="center" wrapText="1"/>
    </xf>
    <xf numFmtId="0" fontId="1" fillId="12" borderId="10" xfId="0" applyFont="1" applyFill="1" applyBorder="1" applyAlignment="1">
      <alignment horizontal="center" vertical="center" wrapText="1"/>
    </xf>
    <xf numFmtId="0" fontId="1" fillId="12" borderId="11" xfId="0" applyFont="1" applyFill="1" applyBorder="1" applyAlignment="1">
      <alignment horizontal="center" vertical="center" wrapText="1"/>
    </xf>
    <xf numFmtId="0" fontId="8" fillId="0" borderId="3" xfId="0" applyFont="1" applyBorder="1" applyAlignment="1">
      <alignment horizontal="center" vertical="center"/>
    </xf>
    <xf numFmtId="0" fontId="8" fillId="0" borderId="18" xfId="0" applyFont="1" applyBorder="1" applyAlignment="1">
      <alignment horizontal="center" vertical="center"/>
    </xf>
    <xf numFmtId="0" fontId="8" fillId="0" borderId="4" xfId="0" applyFont="1" applyBorder="1" applyAlignment="1">
      <alignment horizontal="center" vertical="center"/>
    </xf>
    <xf numFmtId="0" fontId="8" fillId="0" borderId="27" xfId="0" applyFont="1" applyBorder="1" applyAlignment="1">
      <alignment horizontal="center" vertical="center"/>
    </xf>
    <xf numFmtId="0" fontId="8" fillId="0" borderId="28" xfId="0" applyFont="1" applyBorder="1" applyAlignment="1">
      <alignment horizontal="center" vertical="center"/>
    </xf>
    <xf numFmtId="0" fontId="8" fillId="0" borderId="30" xfId="0" applyFont="1" applyBorder="1" applyAlignment="1">
      <alignment horizontal="center" vertical="center"/>
    </xf>
    <xf numFmtId="0" fontId="0" fillId="0" borderId="18" xfId="0" applyBorder="1" applyAlignment="1">
      <alignment horizontal="left" vertical="top" wrapText="1"/>
    </xf>
    <xf numFmtId="0" fontId="0" fillId="0" borderId="0" xfId="0" applyAlignment="1">
      <alignment horizontal="center" wrapText="1"/>
    </xf>
    <xf numFmtId="0" fontId="0" fillId="0" borderId="0" xfId="0" applyAlignment="1">
      <alignment horizontal="center"/>
    </xf>
    <xf numFmtId="0" fontId="0" fillId="10" borderId="32" xfId="0" applyFill="1" applyBorder="1" applyAlignment="1">
      <alignment horizontal="center"/>
    </xf>
    <xf numFmtId="0" fontId="0" fillId="9" borderId="31" xfId="0" applyFill="1" applyBorder="1" applyAlignment="1">
      <alignment horizontal="center"/>
    </xf>
    <xf numFmtId="0" fontId="0" fillId="9" borderId="32" xfId="0" applyFill="1" applyBorder="1" applyAlignment="1">
      <alignment horizontal="center"/>
    </xf>
    <xf numFmtId="0" fontId="0" fillId="9" borderId="33" xfId="0" applyFill="1" applyBorder="1" applyAlignment="1">
      <alignment horizontal="center"/>
    </xf>
    <xf numFmtId="0" fontId="6" fillId="0" borderId="1" xfId="0" applyFont="1" applyBorder="1" applyAlignment="1">
      <alignment horizontal="center"/>
    </xf>
    <xf numFmtId="0" fontId="6" fillId="0" borderId="19" xfId="0" applyFont="1" applyBorder="1" applyAlignment="1">
      <alignment horizontal="center"/>
    </xf>
    <xf numFmtId="0" fontId="6" fillId="0" borderId="2" xfId="0" applyFont="1" applyBorder="1" applyAlignment="1">
      <alignment horizontal="center"/>
    </xf>
    <xf numFmtId="0" fontId="2" fillId="11" borderId="13" xfId="0" applyFont="1" applyFill="1" applyBorder="1" applyAlignment="1">
      <alignment horizontal="center" vertical="center"/>
    </xf>
    <xf numFmtId="0" fontId="2" fillId="11" borderId="14" xfId="0" applyFont="1" applyFill="1" applyBorder="1" applyAlignment="1">
      <alignment horizontal="center" vertical="center"/>
    </xf>
    <xf numFmtId="0" fontId="2" fillId="11" borderId="15" xfId="0" applyFont="1" applyFill="1" applyBorder="1" applyAlignment="1">
      <alignment horizontal="center" vertical="center"/>
    </xf>
    <xf numFmtId="0" fontId="0" fillId="9" borderId="27" xfId="0" applyFill="1" applyBorder="1" applyAlignment="1">
      <alignment horizontal="center"/>
    </xf>
    <xf numFmtId="0" fontId="0" fillId="9" borderId="28" xfId="0" applyFill="1" applyBorder="1" applyAlignment="1">
      <alignment horizontal="center"/>
    </xf>
    <xf numFmtId="0" fontId="0" fillId="9" borderId="29" xfId="0" applyFill="1" applyBorder="1" applyAlignment="1">
      <alignment horizontal="center"/>
    </xf>
    <xf numFmtId="0" fontId="0" fillId="5" borderId="27" xfId="0" applyFill="1" applyBorder="1" applyAlignment="1">
      <alignment horizontal="center"/>
    </xf>
    <xf numFmtId="0" fontId="0" fillId="5" borderId="28" xfId="0" applyFill="1" applyBorder="1" applyAlignment="1">
      <alignment horizontal="center"/>
    </xf>
    <xf numFmtId="0" fontId="0" fillId="5" borderId="29" xfId="0" applyFill="1" applyBorder="1" applyAlignment="1">
      <alignment horizontal="center"/>
    </xf>
    <xf numFmtId="0" fontId="2" fillId="11" borderId="7" xfId="0" applyFont="1" applyFill="1" applyBorder="1" applyAlignment="1">
      <alignment horizontal="center" vertical="center"/>
    </xf>
    <xf numFmtId="0" fontId="2" fillId="11" borderId="10" xfId="0" applyFont="1" applyFill="1" applyBorder="1" applyAlignment="1">
      <alignment horizontal="center" vertical="center"/>
    </xf>
    <xf numFmtId="0" fontId="0" fillId="5" borderId="30" xfId="0" applyFill="1" applyBorder="1" applyAlignment="1">
      <alignment horizontal="center"/>
    </xf>
    <xf numFmtId="0" fontId="0" fillId="4" borderId="31" xfId="0" applyFill="1" applyBorder="1" applyAlignment="1">
      <alignment horizontal="center"/>
    </xf>
    <xf numFmtId="0" fontId="0" fillId="4" borderId="32" xfId="0" applyFill="1" applyBorder="1" applyAlignment="1">
      <alignment horizontal="center"/>
    </xf>
    <xf numFmtId="0" fontId="0" fillId="4" borderId="33" xfId="0" applyFill="1" applyBorder="1" applyAlignment="1">
      <alignment horizontal="center"/>
    </xf>
  </cellXfs>
  <cellStyles count="2">
    <cellStyle name="Comma" xfId="1" builtinId="3"/>
    <cellStyle name="Normal" xfId="0" builtinId="0"/>
  </cellStyles>
  <dxfs count="50">
    <dxf>
      <fill>
        <patternFill>
          <bgColor theme="7" tint="0.59996337778862885"/>
        </patternFill>
      </fill>
    </dxf>
    <dxf>
      <fill>
        <patternFill>
          <bgColor theme="8" tint="0.59996337778862885"/>
        </patternFill>
      </fill>
    </dxf>
    <dxf>
      <fill>
        <patternFill>
          <bgColor theme="7" tint="0.59996337778862885"/>
        </patternFill>
      </fill>
    </dxf>
    <dxf>
      <fill>
        <patternFill>
          <bgColor theme="8" tint="0.59996337778862885"/>
        </patternFill>
      </fill>
    </dxf>
    <dxf>
      <fill>
        <patternFill>
          <bgColor theme="8" tint="0.59996337778862885"/>
        </patternFill>
      </fill>
    </dxf>
    <dxf>
      <fill>
        <patternFill>
          <bgColor theme="7" tint="0.59996337778862885"/>
        </patternFill>
      </fill>
    </dxf>
    <dxf>
      <fill>
        <patternFill>
          <bgColor theme="8" tint="0.59996337778862885"/>
        </patternFill>
      </fill>
    </dxf>
    <dxf>
      <fill>
        <patternFill>
          <bgColor theme="7" tint="0.59996337778862885"/>
        </patternFill>
      </fill>
    </dxf>
    <dxf>
      <fill>
        <patternFill>
          <bgColor rgb="FF92D050"/>
        </patternFill>
      </fill>
    </dxf>
    <dxf>
      <fill>
        <patternFill>
          <bgColor rgb="FFFFC000"/>
        </patternFill>
      </fill>
    </dxf>
    <dxf>
      <fill>
        <patternFill>
          <bgColor theme="8" tint="0.59996337778862885"/>
        </patternFill>
      </fill>
    </dxf>
    <dxf>
      <fill>
        <patternFill>
          <bgColor theme="7" tint="0.59996337778862885"/>
        </patternFill>
      </fill>
    </dxf>
    <dxf>
      <fill>
        <patternFill>
          <bgColor rgb="FF92D050"/>
        </patternFill>
      </fill>
    </dxf>
    <dxf>
      <fill>
        <patternFill>
          <bgColor rgb="FFFFC000"/>
        </patternFill>
      </fill>
    </dxf>
    <dxf>
      <fill>
        <patternFill>
          <bgColor theme="8" tint="0.59996337778862885"/>
        </patternFill>
      </fill>
    </dxf>
    <dxf>
      <fill>
        <patternFill>
          <bgColor theme="7" tint="0.59996337778862885"/>
        </patternFill>
      </fill>
    </dxf>
    <dxf>
      <fill>
        <patternFill>
          <bgColor theme="8" tint="0.59996337778862885"/>
        </patternFill>
      </fill>
    </dxf>
    <dxf>
      <fill>
        <patternFill>
          <bgColor theme="7" tint="0.59996337778862885"/>
        </patternFill>
      </fill>
    </dxf>
    <dxf>
      <fill>
        <patternFill>
          <bgColor theme="8" tint="0.59996337778862885"/>
        </patternFill>
      </fill>
    </dxf>
    <dxf>
      <fill>
        <patternFill>
          <bgColor theme="7" tint="0.59996337778862885"/>
        </patternFill>
      </fill>
    </dxf>
    <dxf>
      <fill>
        <patternFill>
          <bgColor theme="8" tint="0.59996337778862885"/>
        </patternFill>
      </fill>
    </dxf>
    <dxf>
      <fill>
        <patternFill>
          <bgColor theme="7" tint="0.59996337778862885"/>
        </patternFill>
      </fill>
    </dxf>
    <dxf>
      <fill>
        <patternFill>
          <bgColor theme="8" tint="0.59996337778862885"/>
        </patternFill>
      </fill>
    </dxf>
    <dxf>
      <fill>
        <patternFill>
          <bgColor theme="7" tint="0.59996337778862885"/>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8" tint="0.59996337778862885"/>
        </patternFill>
      </fill>
    </dxf>
    <dxf>
      <fill>
        <patternFill>
          <bgColor theme="7" tint="0.59996337778862885"/>
        </patternFill>
      </fill>
    </dxf>
    <dxf>
      <fill>
        <patternFill>
          <bgColor theme="8" tint="0.59996337778862885"/>
        </patternFill>
      </fill>
    </dxf>
    <dxf>
      <fill>
        <patternFill>
          <bgColor theme="7" tint="0.59996337778862885"/>
        </patternFill>
      </fill>
    </dxf>
    <dxf>
      <fill>
        <patternFill>
          <bgColor theme="8" tint="0.59996337778862885"/>
        </patternFill>
      </fill>
    </dxf>
    <dxf>
      <fill>
        <patternFill>
          <bgColor theme="7" tint="0.59996337778862885"/>
        </patternFill>
      </fill>
    </dxf>
    <dxf>
      <fill>
        <patternFill>
          <bgColor theme="8" tint="0.59996337778862885"/>
        </patternFill>
      </fill>
    </dxf>
    <dxf>
      <fill>
        <patternFill>
          <bgColor theme="7"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121348</xdr:colOff>
      <xdr:row>6</xdr:row>
      <xdr:rowOff>442607</xdr:rowOff>
    </xdr:from>
    <xdr:ext cx="65" cy="172227"/>
    <xdr:sp macro="" textlink="">
      <xdr:nvSpPr>
        <xdr:cNvPr id="2" name="TextBox 1">
          <a:extLst>
            <a:ext uri="{FF2B5EF4-FFF2-40B4-BE49-F238E27FC236}">
              <a16:creationId xmlns:a16="http://schemas.microsoft.com/office/drawing/2014/main" id="{B098B871-AB74-4596-BB4B-C4815A6FD688}"/>
            </a:ext>
          </a:extLst>
        </xdr:cNvPr>
        <xdr:cNvSpPr txBox="1"/>
      </xdr:nvSpPr>
      <xdr:spPr>
        <a:xfrm>
          <a:off x="15037498" y="450025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s-MX" sz="1100" kern="1200"/>
        </a:p>
      </xdr:txBody>
    </xdr:sp>
    <xdr:clientData/>
  </xdr:oneCellAnchor>
  <xdr:oneCellAnchor>
    <xdr:from>
      <xdr:col>8</xdr:col>
      <xdr:colOff>562533</xdr:colOff>
      <xdr:row>7</xdr:row>
      <xdr:rowOff>1110823</xdr:rowOff>
    </xdr:from>
    <xdr:ext cx="3057632" cy="32143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63B22D-7695-4661-BE15-3C74274ABF7D}"/>
                </a:ext>
              </a:extLst>
            </xdr:cNvPr>
            <xdr:cNvSpPr txBox="1"/>
          </xdr:nvSpPr>
          <xdr:spPr>
            <a:xfrm>
              <a:off x="12155819" y="4471787"/>
              <a:ext cx="3057632"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MX" sz="1100" b="0" i="1" kern="1200">
                        <a:latin typeface="Cambria Math" panose="02040503050406030204" pitchFamily="18" charset="0"/>
                      </a:rPr>
                      <m:t>𝑉𝑎𝑙𝑜𝑟</m:t>
                    </m:r>
                    <m:r>
                      <a:rPr lang="es-MX" sz="1100" b="0" i="1" kern="1200">
                        <a:latin typeface="Cambria Math" panose="02040503050406030204" pitchFamily="18" charset="0"/>
                      </a:rPr>
                      <m:t> </m:t>
                    </m:r>
                    <m:r>
                      <a:rPr lang="es-MX" sz="1100" b="0" i="1" kern="1200">
                        <a:latin typeface="Cambria Math" panose="02040503050406030204" pitchFamily="18" charset="0"/>
                      </a:rPr>
                      <m:t>𝑛𝑜𝑟𝑚𝑎𝑙𝑖𝑧𝑎𝑑𝑜</m:t>
                    </m:r>
                    <m:r>
                      <a:rPr lang="es-MX" sz="1100" b="0" i="1" kern="1200">
                        <a:latin typeface="Cambria Math" panose="02040503050406030204" pitchFamily="18" charset="0"/>
                      </a:rPr>
                      <m:t>= </m:t>
                    </m:r>
                    <m:f>
                      <m:fPr>
                        <m:ctrlPr>
                          <a:rPr lang="es-MX" sz="1100" b="0" i="1" kern="1200">
                            <a:latin typeface="Cambria Math" panose="02040503050406030204" pitchFamily="18" charset="0"/>
                          </a:rPr>
                        </m:ctrlPr>
                      </m:fPr>
                      <m:num>
                        <m:r>
                          <a:rPr lang="es-MX" sz="1100" b="0" i="1" kern="1200">
                            <a:latin typeface="Cambria Math" panose="02040503050406030204" pitchFamily="18" charset="0"/>
                          </a:rPr>
                          <m:t>𝑉𝑎𝑙𝑜𝑟</m:t>
                        </m:r>
                        <m:r>
                          <a:rPr lang="es-MX" sz="1100" b="0" i="1" kern="1200">
                            <a:latin typeface="Cambria Math" panose="02040503050406030204" pitchFamily="18" charset="0"/>
                          </a:rPr>
                          <m:t> −</m:t>
                        </m:r>
                        <m:r>
                          <a:rPr lang="es-MX" sz="1100" b="0" i="1" kern="1200">
                            <a:latin typeface="Cambria Math" panose="02040503050406030204" pitchFamily="18" charset="0"/>
                          </a:rPr>
                          <m:t>𝑀𝑖𝑛𝑖𝑚𝑜</m:t>
                        </m:r>
                      </m:num>
                      <m:den>
                        <m:r>
                          <a:rPr lang="es-MX" sz="1100" b="0" i="1" kern="1200">
                            <a:latin typeface="Cambria Math" panose="02040503050406030204" pitchFamily="18" charset="0"/>
                          </a:rPr>
                          <m:t>𝑀</m:t>
                        </m:r>
                        <m:r>
                          <a:rPr lang="es-MX" sz="1100" b="0" i="1" kern="1200">
                            <a:latin typeface="Cambria Math" panose="02040503050406030204" pitchFamily="18" charset="0"/>
                          </a:rPr>
                          <m:t>á</m:t>
                        </m:r>
                        <m:r>
                          <a:rPr lang="es-MX" sz="1100" b="0" i="1" kern="1200">
                            <a:latin typeface="Cambria Math" panose="02040503050406030204" pitchFamily="18" charset="0"/>
                          </a:rPr>
                          <m:t>𝑥𝑖𝑚𝑜</m:t>
                        </m:r>
                        <m:r>
                          <a:rPr lang="es-MX" sz="1100" b="0" i="1" kern="1200">
                            <a:latin typeface="Cambria Math" panose="02040503050406030204" pitchFamily="18" charset="0"/>
                          </a:rPr>
                          <m:t>  −</m:t>
                        </m:r>
                        <m:r>
                          <a:rPr lang="es-MX" sz="1100" b="0" i="1" kern="1200">
                            <a:latin typeface="Cambria Math" panose="02040503050406030204" pitchFamily="18" charset="0"/>
                          </a:rPr>
                          <m:t>𝑀</m:t>
                        </m:r>
                        <m:r>
                          <a:rPr lang="es-MX" sz="1100" b="0" i="1" kern="1200">
                            <a:latin typeface="Cambria Math" panose="02040503050406030204" pitchFamily="18" charset="0"/>
                          </a:rPr>
                          <m:t>í</m:t>
                        </m:r>
                        <m:r>
                          <a:rPr lang="es-MX" sz="1100" b="0" i="1" kern="1200">
                            <a:latin typeface="Cambria Math" panose="02040503050406030204" pitchFamily="18" charset="0"/>
                          </a:rPr>
                          <m:t>𝑛𝑖𝑚𝑜</m:t>
                        </m:r>
                        <m:r>
                          <a:rPr lang="es-MX" sz="1100" b="0" i="1" kern="1200">
                            <a:latin typeface="Cambria Math" panose="02040503050406030204" pitchFamily="18" charset="0"/>
                          </a:rPr>
                          <m:t> </m:t>
                        </m:r>
                      </m:den>
                    </m:f>
                    <m:r>
                      <a:rPr lang="es-MX" sz="1100" b="0" i="1" kern="1200">
                        <a:latin typeface="Cambria Math" panose="02040503050406030204" pitchFamily="18" charset="0"/>
                      </a:rPr>
                      <m:t>∗100</m:t>
                    </m:r>
                  </m:oMath>
                </m:oMathPara>
              </a14:m>
              <a:endParaRPr lang="es-MX" sz="1100" kern="1200"/>
            </a:p>
          </xdr:txBody>
        </xdr:sp>
      </mc:Choice>
      <mc:Fallback xmlns="">
        <xdr:sp macro="" textlink="">
          <xdr:nvSpPr>
            <xdr:cNvPr id="3" name="TextBox 2">
              <a:extLst>
                <a:ext uri="{FF2B5EF4-FFF2-40B4-BE49-F238E27FC236}">
                  <a16:creationId xmlns:a16="http://schemas.microsoft.com/office/drawing/2014/main" id="{CE63B22D-7695-4661-BE15-3C74274ABF7D}"/>
                </a:ext>
              </a:extLst>
            </xdr:cNvPr>
            <xdr:cNvSpPr txBox="1"/>
          </xdr:nvSpPr>
          <xdr:spPr>
            <a:xfrm>
              <a:off x="12155819" y="4471787"/>
              <a:ext cx="3057632"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MX" sz="1100" b="0" i="0" kern="1200">
                  <a:latin typeface="Cambria Math" panose="02040503050406030204" pitchFamily="18" charset="0"/>
                </a:rPr>
                <a:t>𝑉𝑎𝑙𝑜𝑟 𝑛𝑜𝑟𝑚𝑎𝑙𝑖𝑧𝑎𝑑𝑜=  (𝑉𝑎𝑙𝑜𝑟 −𝑀𝑖𝑛𝑖𝑚𝑜)/(𝑀á𝑥𝑖𝑚𝑜  −𝑀í𝑛𝑖𝑚𝑜 )∗100</a:t>
              </a:r>
              <a:endParaRPr lang="es-MX" sz="1100" kern="1200"/>
            </a:p>
          </xdr:txBody>
        </xdr:sp>
      </mc:Fallback>
    </mc:AlternateContent>
    <xdr:clientData/>
  </xdr:oneCellAnchor>
  <xdr:twoCellAnchor editAs="oneCell">
    <xdr:from>
      <xdr:col>8</xdr:col>
      <xdr:colOff>24849</xdr:colOff>
      <xdr:row>10</xdr:row>
      <xdr:rowOff>8283</xdr:rowOff>
    </xdr:from>
    <xdr:to>
      <xdr:col>8</xdr:col>
      <xdr:colOff>3884545</xdr:colOff>
      <xdr:row>10</xdr:row>
      <xdr:rowOff>1588762</xdr:rowOff>
    </xdr:to>
    <xdr:pic>
      <xdr:nvPicPr>
        <xdr:cNvPr id="5" name="Picture 4">
          <a:extLst>
            <a:ext uri="{FF2B5EF4-FFF2-40B4-BE49-F238E27FC236}">
              <a16:creationId xmlns:a16="http://schemas.microsoft.com/office/drawing/2014/main" id="{07696A71-793B-62A3-86FE-E9DFC2DA5A5B}"/>
            </a:ext>
          </a:extLst>
        </xdr:cNvPr>
        <xdr:cNvPicPr>
          <a:picLocks noChangeAspect="1"/>
        </xdr:cNvPicPr>
      </xdr:nvPicPr>
      <xdr:blipFill>
        <a:blip xmlns:r="http://schemas.openxmlformats.org/officeDocument/2006/relationships" r:embed="rId1"/>
        <a:stretch>
          <a:fillRect/>
        </a:stretch>
      </xdr:blipFill>
      <xdr:spPr>
        <a:xfrm>
          <a:off x="11620501" y="5458240"/>
          <a:ext cx="3859696" cy="1580479"/>
        </a:xfrm>
        <a:prstGeom prst="rect">
          <a:avLst/>
        </a:prstGeom>
      </xdr:spPr>
    </xdr:pic>
    <xdr:clientData/>
  </xdr:twoCellAnchor>
  <xdr:twoCellAnchor editAs="oneCell">
    <xdr:from>
      <xdr:col>10</xdr:col>
      <xdr:colOff>0</xdr:colOff>
      <xdr:row>6</xdr:row>
      <xdr:rowOff>0</xdr:rowOff>
    </xdr:from>
    <xdr:to>
      <xdr:col>13</xdr:col>
      <xdr:colOff>101803</xdr:colOff>
      <xdr:row>7</xdr:row>
      <xdr:rowOff>943333</xdr:rowOff>
    </xdr:to>
    <xdr:pic>
      <xdr:nvPicPr>
        <xdr:cNvPr id="6" name="Picture 5">
          <a:extLst>
            <a:ext uri="{FF2B5EF4-FFF2-40B4-BE49-F238E27FC236}">
              <a16:creationId xmlns:a16="http://schemas.microsoft.com/office/drawing/2014/main" id="{EF590818-86C1-4AC4-8236-6C54A99113F3}"/>
            </a:ext>
          </a:extLst>
        </xdr:cNvPr>
        <xdr:cNvPicPr>
          <a:picLocks noChangeAspect="1"/>
        </xdr:cNvPicPr>
      </xdr:nvPicPr>
      <xdr:blipFill>
        <a:blip xmlns:r="http://schemas.openxmlformats.org/officeDocument/2006/relationships" r:embed="rId2"/>
        <a:stretch>
          <a:fillRect/>
        </a:stretch>
      </xdr:blipFill>
      <xdr:spPr>
        <a:xfrm>
          <a:off x="16325850" y="2400300"/>
          <a:ext cx="1930603" cy="18958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8635B-8CF4-48A3-A468-E287F287A2F0}">
  <dimension ref="B1:J114"/>
  <sheetViews>
    <sheetView topLeftCell="A18" zoomScale="85" zoomScaleNormal="85" workbookViewId="0">
      <selection activeCell="B32" sqref="B32:C57"/>
    </sheetView>
  </sheetViews>
  <sheetFormatPr defaultRowHeight="15" x14ac:dyDescent="0.25"/>
  <cols>
    <col min="2" max="2" width="48.7109375" customWidth="1"/>
    <col min="3" max="3" width="9.28515625" bestFit="1" customWidth="1"/>
    <col min="5" max="5" width="12" bestFit="1" customWidth="1"/>
    <col min="6" max="6" width="9.28515625" bestFit="1" customWidth="1"/>
    <col min="8" max="8" width="9.28515625" bestFit="1" customWidth="1"/>
    <col min="9" max="9" width="47.42578125" bestFit="1" customWidth="1"/>
    <col min="10" max="10" width="9.28515625" bestFit="1" customWidth="1"/>
  </cols>
  <sheetData>
    <row r="1" spans="2:10" ht="15.75" thickBot="1" x14ac:dyDescent="0.3"/>
    <row r="2" spans="2:10" x14ac:dyDescent="0.25">
      <c r="B2" s="150" t="s">
        <v>26</v>
      </c>
      <c r="C2" s="151"/>
      <c r="D2" s="22" t="s">
        <v>27</v>
      </c>
      <c r="E2" s="30">
        <f>SUM(C4:C28)/22</f>
        <v>1070.6818181818182</v>
      </c>
      <c r="F2" s="24"/>
    </row>
    <row r="3" spans="2:10" ht="15.75" thickBot="1" x14ac:dyDescent="0.3">
      <c r="B3" s="1" t="s">
        <v>0</v>
      </c>
      <c r="C3" s="2" t="s">
        <v>28</v>
      </c>
      <c r="D3" s="25" t="s">
        <v>33</v>
      </c>
      <c r="E3" s="31" t="s">
        <v>29</v>
      </c>
      <c r="F3" s="32" t="s">
        <v>30</v>
      </c>
      <c r="H3" s="8" t="str" cm="1">
        <f t="array" ref="H3:J12">_xlfn.VSTACK({"Ranking","Universidad","Score"}, _xlfn._xlws.SORT(_xlfn._xlws.FILTER(CHOOSE({1,2,3},F4:F28,B4:B28,C4:C28),F4:F28&lt;&gt;""),1,TRUE))</f>
        <v>Ranking</v>
      </c>
      <c r="I3" s="8" t="str">
        <v>Universidad</v>
      </c>
      <c r="J3" s="8" t="str">
        <v>Score</v>
      </c>
    </row>
    <row r="4" spans="2:10" x14ac:dyDescent="0.25">
      <c r="B4" s="3" t="s">
        <v>1</v>
      </c>
      <c r="C4" s="4">
        <v>136</v>
      </c>
      <c r="D4" t="str">
        <f>IF(ISNUMBER(C4),IF(C4&lt;1070, "SI", "NO"), "NO")</f>
        <v>SI</v>
      </c>
      <c r="E4">
        <f>IF(D4="SI", 1, 0)</f>
        <v>1</v>
      </c>
      <c r="F4">
        <f>IF(E4=1, COUNTIFS($E$4:$E$28, 1, $C$4:$C$28, "&lt;"&amp;C4)+1, "")</f>
        <v>1</v>
      </c>
      <c r="H4">
        <v>1</v>
      </c>
      <c r="I4" t="str">
        <v>Universidad Nacional Autónoma de México (UNAM)</v>
      </c>
      <c r="J4">
        <v>136</v>
      </c>
    </row>
    <row r="5" spans="2:10" x14ac:dyDescent="0.25">
      <c r="B5" s="3" t="s">
        <v>2</v>
      </c>
      <c r="C5" s="4">
        <v>187</v>
      </c>
      <c r="D5" t="str">
        <f t="shared" ref="D5:D28" si="0">IF(ISNUMBER(C5),IF(C5&lt;1070, "SI", "NO"), "NO")</f>
        <v>SI</v>
      </c>
      <c r="E5">
        <f t="shared" ref="E5:E28" si="1">IF(D5="SI", 1, 0)</f>
        <v>1</v>
      </c>
      <c r="F5">
        <f t="shared" ref="F5:F27" si="2">IF(E5=1, COUNTIFS($E$4:$E$28, 1, $C$4:$C$28, "&lt;"&amp;C5)+1, "")</f>
        <v>2</v>
      </c>
      <c r="H5">
        <v>2</v>
      </c>
      <c r="I5" t="str">
        <v>Tecnológico de Monterrey (ITESM)</v>
      </c>
      <c r="J5">
        <v>187</v>
      </c>
    </row>
    <row r="6" spans="2:10" x14ac:dyDescent="0.25">
      <c r="B6" s="3" t="s">
        <v>3</v>
      </c>
      <c r="C6" s="4">
        <v>711</v>
      </c>
      <c r="D6" t="str">
        <f t="shared" si="0"/>
        <v>SI</v>
      </c>
      <c r="E6">
        <f t="shared" si="1"/>
        <v>1</v>
      </c>
      <c r="F6">
        <f t="shared" si="2"/>
        <v>3</v>
      </c>
      <c r="H6">
        <v>3</v>
      </c>
      <c r="I6" t="str">
        <v>Universidad Panamericana (UP)</v>
      </c>
      <c r="J6">
        <v>711</v>
      </c>
    </row>
    <row r="7" spans="2:10" x14ac:dyDescent="0.25">
      <c r="B7" s="3" t="s">
        <v>4</v>
      </c>
      <c r="C7" s="4">
        <v>816</v>
      </c>
      <c r="D7" t="str">
        <f t="shared" si="0"/>
        <v>SI</v>
      </c>
      <c r="E7">
        <f t="shared" si="1"/>
        <v>1</v>
      </c>
      <c r="F7">
        <f t="shared" si="2"/>
        <v>4</v>
      </c>
      <c r="H7">
        <v>4</v>
      </c>
      <c r="I7" t="str">
        <v>Instituto Tecnológico Autonomo de México (ITAM)</v>
      </c>
      <c r="J7">
        <v>816</v>
      </c>
    </row>
    <row r="8" spans="2:10" x14ac:dyDescent="0.25">
      <c r="B8" s="3" t="s">
        <v>5</v>
      </c>
      <c r="C8" s="4">
        <v>873</v>
      </c>
      <c r="D8" t="str">
        <f t="shared" si="0"/>
        <v>SI</v>
      </c>
      <c r="E8">
        <f t="shared" si="1"/>
        <v>1</v>
      </c>
      <c r="F8">
        <f t="shared" si="2"/>
        <v>5</v>
      </c>
      <c r="H8">
        <v>5</v>
      </c>
      <c r="I8" t="str">
        <v>Instituto Politécnico Nacional (IPN)</v>
      </c>
      <c r="J8">
        <v>873</v>
      </c>
    </row>
    <row r="9" spans="2:10" x14ac:dyDescent="0.25">
      <c r="B9" s="3" t="s">
        <v>6</v>
      </c>
      <c r="C9" s="4">
        <v>885</v>
      </c>
      <c r="D9" t="str">
        <f t="shared" si="0"/>
        <v>SI</v>
      </c>
      <c r="E9">
        <f t="shared" si="1"/>
        <v>1</v>
      </c>
      <c r="F9">
        <f t="shared" si="2"/>
        <v>6</v>
      </c>
      <c r="H9">
        <v>6</v>
      </c>
      <c r="I9" t="str">
        <v>Universidad Anahuac</v>
      </c>
      <c r="J9">
        <v>885</v>
      </c>
    </row>
    <row r="10" spans="2:10" x14ac:dyDescent="0.25">
      <c r="B10" s="3" t="s">
        <v>7</v>
      </c>
      <c r="C10" s="4">
        <v>910</v>
      </c>
      <c r="D10" t="str">
        <f t="shared" si="0"/>
        <v>SI</v>
      </c>
      <c r="E10">
        <f t="shared" si="1"/>
        <v>1</v>
      </c>
      <c r="F10">
        <f t="shared" si="2"/>
        <v>7</v>
      </c>
      <c r="H10">
        <v>7</v>
      </c>
      <c r="I10" t="str">
        <v>Colegio de México</v>
      </c>
      <c r="J10">
        <v>910</v>
      </c>
    </row>
    <row r="11" spans="2:10" x14ac:dyDescent="0.25">
      <c r="B11" s="3" t="s">
        <v>8</v>
      </c>
      <c r="C11" s="4">
        <v>938</v>
      </c>
      <c r="D11" t="str">
        <f t="shared" si="0"/>
        <v>SI</v>
      </c>
      <c r="E11">
        <f t="shared" si="1"/>
        <v>1</v>
      </c>
      <c r="F11">
        <f t="shared" si="2"/>
        <v>8</v>
      </c>
      <c r="H11">
        <v>8</v>
      </c>
      <c r="I11" t="str">
        <v>Universidad Iberoamericana (UIA)</v>
      </c>
      <c r="J11">
        <v>938</v>
      </c>
    </row>
    <row r="12" spans="2:10" x14ac:dyDescent="0.25">
      <c r="B12" s="3" t="s">
        <v>9</v>
      </c>
      <c r="C12" s="4">
        <v>986</v>
      </c>
      <c r="D12" t="str">
        <f t="shared" si="0"/>
        <v>SI</v>
      </c>
      <c r="E12">
        <f t="shared" si="1"/>
        <v>1</v>
      </c>
      <c r="F12">
        <f t="shared" si="2"/>
        <v>9</v>
      </c>
      <c r="H12">
        <v>9</v>
      </c>
      <c r="I12" t="str">
        <v>Universidad Autónoma Metropolitana (UAM)</v>
      </c>
      <c r="J12">
        <v>986</v>
      </c>
    </row>
    <row r="13" spans="2:10" x14ac:dyDescent="0.25">
      <c r="B13" s="3" t="s">
        <v>10</v>
      </c>
      <c r="C13" s="4">
        <v>1116</v>
      </c>
      <c r="D13" t="str">
        <f t="shared" si="0"/>
        <v>NO</v>
      </c>
      <c r="E13">
        <f t="shared" si="1"/>
        <v>0</v>
      </c>
      <c r="F13" s="9" t="str">
        <f t="shared" si="2"/>
        <v/>
      </c>
    </row>
    <row r="14" spans="2:10" x14ac:dyDescent="0.25">
      <c r="B14" s="3" t="s">
        <v>11</v>
      </c>
      <c r="C14" s="4">
        <v>1117</v>
      </c>
      <c r="D14" t="str">
        <f t="shared" si="0"/>
        <v>NO</v>
      </c>
      <c r="E14">
        <f t="shared" si="1"/>
        <v>0</v>
      </c>
      <c r="F14" s="9" t="str">
        <f t="shared" si="2"/>
        <v/>
      </c>
    </row>
    <row r="15" spans="2:10" x14ac:dyDescent="0.25">
      <c r="B15" s="3" t="s">
        <v>12</v>
      </c>
      <c r="C15" s="4">
        <v>1213</v>
      </c>
      <c r="D15" t="str">
        <f t="shared" si="0"/>
        <v>NO</v>
      </c>
      <c r="E15">
        <f t="shared" si="1"/>
        <v>0</v>
      </c>
      <c r="F15" s="9" t="str">
        <f t="shared" si="2"/>
        <v/>
      </c>
    </row>
    <row r="16" spans="2:10" x14ac:dyDescent="0.25">
      <c r="B16" s="3" t="s">
        <v>13</v>
      </c>
      <c r="C16" s="4">
        <v>1316</v>
      </c>
      <c r="D16" t="str">
        <f t="shared" si="0"/>
        <v>NO</v>
      </c>
      <c r="E16">
        <f t="shared" si="1"/>
        <v>0</v>
      </c>
      <c r="F16" s="9" t="str">
        <f t="shared" si="2"/>
        <v/>
      </c>
    </row>
    <row r="17" spans="2:10" x14ac:dyDescent="0.25">
      <c r="B17" s="3" t="s">
        <v>14</v>
      </c>
      <c r="C17" s="4">
        <v>1317</v>
      </c>
      <c r="D17" t="str">
        <f t="shared" si="0"/>
        <v>NO</v>
      </c>
      <c r="E17">
        <f t="shared" si="1"/>
        <v>0</v>
      </c>
      <c r="F17" s="9" t="str">
        <f t="shared" si="2"/>
        <v/>
      </c>
    </row>
    <row r="18" spans="2:10" x14ac:dyDescent="0.25">
      <c r="B18" s="3" t="s">
        <v>15</v>
      </c>
      <c r="C18" s="4">
        <v>1318</v>
      </c>
      <c r="D18" t="str">
        <f t="shared" si="0"/>
        <v>NO</v>
      </c>
      <c r="E18">
        <f t="shared" si="1"/>
        <v>0</v>
      </c>
      <c r="F18" s="9" t="str">
        <f t="shared" si="2"/>
        <v/>
      </c>
    </row>
    <row r="19" spans="2:10" x14ac:dyDescent="0.25">
      <c r="B19" s="3" t="s">
        <v>16</v>
      </c>
      <c r="C19" s="4">
        <v>1319</v>
      </c>
      <c r="D19" t="str">
        <f t="shared" si="0"/>
        <v>NO</v>
      </c>
      <c r="E19">
        <f t="shared" si="1"/>
        <v>0</v>
      </c>
      <c r="F19" s="9" t="str">
        <f t="shared" si="2"/>
        <v/>
      </c>
    </row>
    <row r="20" spans="2:10" x14ac:dyDescent="0.25">
      <c r="B20" s="3" t="s">
        <v>17</v>
      </c>
      <c r="C20" s="4">
        <v>1320</v>
      </c>
      <c r="D20" t="str">
        <f t="shared" si="0"/>
        <v>NO</v>
      </c>
      <c r="E20">
        <f t="shared" si="1"/>
        <v>0</v>
      </c>
      <c r="F20" s="9" t="str">
        <f t="shared" si="2"/>
        <v/>
      </c>
    </row>
    <row r="21" spans="2:10" x14ac:dyDescent="0.25">
      <c r="B21" s="3" t="s">
        <v>18</v>
      </c>
      <c r="C21" s="4">
        <v>1328</v>
      </c>
      <c r="D21" t="str">
        <f t="shared" si="0"/>
        <v>NO</v>
      </c>
      <c r="E21">
        <f t="shared" si="1"/>
        <v>0</v>
      </c>
      <c r="F21" s="9" t="str">
        <f t="shared" si="2"/>
        <v/>
      </c>
    </row>
    <row r="22" spans="2:10" x14ac:dyDescent="0.25">
      <c r="B22" s="3" t="s">
        <v>19</v>
      </c>
      <c r="C22" s="4">
        <v>1334</v>
      </c>
      <c r="D22" t="str">
        <f t="shared" si="0"/>
        <v>NO</v>
      </c>
      <c r="E22">
        <f t="shared" si="1"/>
        <v>0</v>
      </c>
      <c r="F22" s="9" t="str">
        <f t="shared" si="2"/>
        <v/>
      </c>
    </row>
    <row r="23" spans="2:10" x14ac:dyDescent="0.25">
      <c r="B23" s="3" t="s">
        <v>20</v>
      </c>
      <c r="C23" s="4">
        <v>1467</v>
      </c>
      <c r="D23" t="str">
        <f t="shared" si="0"/>
        <v>NO</v>
      </c>
      <c r="E23">
        <f t="shared" si="1"/>
        <v>0</v>
      </c>
      <c r="F23" s="9" t="str">
        <f t="shared" si="2"/>
        <v/>
      </c>
    </row>
    <row r="24" spans="2:10" x14ac:dyDescent="0.25">
      <c r="B24" s="3" t="s">
        <v>21</v>
      </c>
      <c r="C24" s="4">
        <v>1471</v>
      </c>
      <c r="D24" t="str">
        <f t="shared" si="0"/>
        <v>NO</v>
      </c>
      <c r="E24">
        <f t="shared" si="1"/>
        <v>0</v>
      </c>
      <c r="F24" s="9" t="str">
        <f t="shared" si="2"/>
        <v/>
      </c>
    </row>
    <row r="25" spans="2:10" x14ac:dyDescent="0.25">
      <c r="B25" s="3" t="s">
        <v>22</v>
      </c>
      <c r="C25" s="4">
        <v>1477</v>
      </c>
      <c r="D25" t="str">
        <f t="shared" si="0"/>
        <v>NO</v>
      </c>
      <c r="E25">
        <f t="shared" si="1"/>
        <v>0</v>
      </c>
      <c r="F25" s="9" t="str">
        <f t="shared" si="2"/>
        <v/>
      </c>
    </row>
    <row r="26" spans="2:10" x14ac:dyDescent="0.25">
      <c r="B26" s="3" t="s">
        <v>23</v>
      </c>
      <c r="C26" s="5" t="s">
        <v>31</v>
      </c>
      <c r="D26" t="str">
        <f t="shared" si="0"/>
        <v>NO</v>
      </c>
      <c r="E26">
        <f t="shared" si="1"/>
        <v>0</v>
      </c>
      <c r="F26" s="9" t="str">
        <f t="shared" si="2"/>
        <v/>
      </c>
    </row>
    <row r="27" spans="2:10" x14ac:dyDescent="0.25">
      <c r="B27" s="3" t="s">
        <v>24</v>
      </c>
      <c r="C27" s="5" t="s">
        <v>32</v>
      </c>
      <c r="D27" t="str">
        <f t="shared" si="0"/>
        <v>NO</v>
      </c>
      <c r="E27">
        <f t="shared" si="1"/>
        <v>0</v>
      </c>
      <c r="F27" s="9" t="str">
        <f t="shared" si="2"/>
        <v/>
      </c>
    </row>
    <row r="28" spans="2:10" ht="15.75" thickBot="1" x14ac:dyDescent="0.3">
      <c r="B28" s="6" t="s">
        <v>25</v>
      </c>
      <c r="C28" s="7" t="s">
        <v>32</v>
      </c>
      <c r="D28" t="str">
        <f t="shared" si="0"/>
        <v>NO</v>
      </c>
      <c r="E28">
        <f t="shared" si="1"/>
        <v>0</v>
      </c>
      <c r="F28" s="9" t="str">
        <f>IF(E28=1, COUNTIFS($E$4:$E$28, 1, $C$4:$C$28, "&lt;"&amp;C28)+1, "")</f>
        <v/>
      </c>
    </row>
    <row r="30" spans="2:10" ht="15.75" thickBot="1" x14ac:dyDescent="0.3"/>
    <row r="31" spans="2:10" x14ac:dyDescent="0.25">
      <c r="B31" s="150" t="s">
        <v>34</v>
      </c>
      <c r="C31" s="151"/>
      <c r="D31" s="22" t="s">
        <v>36</v>
      </c>
      <c r="E31" s="30">
        <f>SUM(C33:C57)/22</f>
        <v>23.018181818181819</v>
      </c>
      <c r="F31" s="24"/>
      <c r="H31" s="8" t="str" cm="1">
        <f t="array" ref="H31:J38">_xlfn.VSTACK({"Ranking","Universidad","Score"},_xlfn._xlws.SORT(_xlfn._xlws.FILTER(CHOOSE({1,2,3},F33:F57,B33:B57,C33:C57),F33:F57&lt;&gt;""),1,TRUE))</f>
        <v>Ranking</v>
      </c>
      <c r="I31" s="8" t="str">
        <v>Universidad</v>
      </c>
      <c r="J31" s="8" t="str">
        <v>Score</v>
      </c>
    </row>
    <row r="32" spans="2:10" ht="15.75" thickBot="1" x14ac:dyDescent="0.3">
      <c r="B32" s="1" t="s">
        <v>0</v>
      </c>
      <c r="C32" s="2" t="s">
        <v>35</v>
      </c>
      <c r="D32" s="25" t="s">
        <v>37</v>
      </c>
      <c r="E32" s="31" t="s">
        <v>29</v>
      </c>
      <c r="F32" s="32" t="s">
        <v>30</v>
      </c>
      <c r="H32">
        <v>1</v>
      </c>
      <c r="I32" t="str">
        <v>Universidad Nacional Autónoma de México (UNAM)</v>
      </c>
      <c r="J32">
        <v>95.9</v>
      </c>
    </row>
    <row r="33" spans="2:10" x14ac:dyDescent="0.25">
      <c r="B33" s="3" t="s">
        <v>1</v>
      </c>
      <c r="C33" s="5">
        <v>95.9</v>
      </c>
      <c r="D33" t="str">
        <f>IF(ISNUMBER(C33), IF(C33&gt;23, "SI", "NO"), "NO")</f>
        <v>SI</v>
      </c>
      <c r="E33">
        <f>IF(D33="Si", 1, 0)</f>
        <v>1</v>
      </c>
      <c r="F33">
        <f>IF(E33=1, COUNTIFS($E$33:$E$57, 1, $C$33:$C$57, "&gt;"&amp;C33)+1,"")</f>
        <v>1</v>
      </c>
      <c r="H33">
        <v>2</v>
      </c>
      <c r="I33" t="str">
        <v>Tecnológico de Monterrey (ITESM)</v>
      </c>
      <c r="J33">
        <v>93.9</v>
      </c>
    </row>
    <row r="34" spans="2:10" x14ac:dyDescent="0.25">
      <c r="B34" s="3" t="s">
        <v>2</v>
      </c>
      <c r="C34" s="5">
        <v>93.9</v>
      </c>
      <c r="D34" t="str">
        <f t="shared" ref="D34:D57" si="3">IF(ISNUMBER(C34), IF(C34&gt;23, "SI", "NO"), "NO")</f>
        <v>SI</v>
      </c>
      <c r="E34">
        <f t="shared" ref="E34:E57" si="4">IF(D34="Si", 1, 0)</f>
        <v>1</v>
      </c>
      <c r="F34">
        <f t="shared" ref="F34:F57" si="5">IF(E34=1, COUNTIFS($E$33:$E$57, 1, $C$33:$C$57, "&gt;"&amp;C34)+1,"")</f>
        <v>2</v>
      </c>
      <c r="H34">
        <v>3</v>
      </c>
      <c r="I34" t="str">
        <v>Instituto Tecnológico Autonomo de México (ITAM)</v>
      </c>
      <c r="J34">
        <v>40</v>
      </c>
    </row>
    <row r="35" spans="2:10" x14ac:dyDescent="0.25">
      <c r="B35" s="3" t="s">
        <v>3</v>
      </c>
      <c r="C35" s="5">
        <v>34.4</v>
      </c>
      <c r="D35" t="str">
        <f t="shared" si="3"/>
        <v>SI</v>
      </c>
      <c r="E35">
        <f t="shared" si="4"/>
        <v>1</v>
      </c>
      <c r="F35">
        <f t="shared" si="5"/>
        <v>4</v>
      </c>
      <c r="H35">
        <v>4</v>
      </c>
      <c r="I35" t="str">
        <v>Universidad Panamericana (UP)</v>
      </c>
      <c r="J35">
        <v>34.4</v>
      </c>
    </row>
    <row r="36" spans="2:10" x14ac:dyDescent="0.25">
      <c r="B36" s="3" t="s">
        <v>4</v>
      </c>
      <c r="C36" s="5">
        <v>40</v>
      </c>
      <c r="D36" t="str">
        <f t="shared" si="3"/>
        <v>SI</v>
      </c>
      <c r="E36">
        <f t="shared" si="4"/>
        <v>1</v>
      </c>
      <c r="F36">
        <f t="shared" si="5"/>
        <v>3</v>
      </c>
      <c r="H36">
        <v>5</v>
      </c>
      <c r="I36" t="str">
        <v>Instituto Politécnico Nacional (IPN)</v>
      </c>
      <c r="J36">
        <v>33.9</v>
      </c>
    </row>
    <row r="37" spans="2:10" x14ac:dyDescent="0.25">
      <c r="B37" s="3" t="s">
        <v>5</v>
      </c>
      <c r="C37" s="5">
        <v>33.9</v>
      </c>
      <c r="D37" t="str">
        <f t="shared" si="3"/>
        <v>SI</v>
      </c>
      <c r="E37">
        <f t="shared" si="4"/>
        <v>1</v>
      </c>
      <c r="F37">
        <f t="shared" si="5"/>
        <v>5</v>
      </c>
      <c r="H37">
        <v>6</v>
      </c>
      <c r="I37" t="str">
        <v>Universidad Iberoamericana (UIA)</v>
      </c>
      <c r="J37">
        <v>30.2</v>
      </c>
    </row>
    <row r="38" spans="2:10" x14ac:dyDescent="0.25">
      <c r="B38" s="3" t="s">
        <v>6</v>
      </c>
      <c r="C38" s="5">
        <v>29.7</v>
      </c>
      <c r="D38" t="str">
        <f t="shared" si="3"/>
        <v>SI</v>
      </c>
      <c r="E38">
        <f t="shared" si="4"/>
        <v>1</v>
      </c>
      <c r="F38">
        <f t="shared" si="5"/>
        <v>7</v>
      </c>
      <c r="H38">
        <v>7</v>
      </c>
      <c r="I38" t="str">
        <v>Universidad Anahuac</v>
      </c>
      <c r="J38">
        <v>29.7</v>
      </c>
    </row>
    <row r="39" spans="2:10" x14ac:dyDescent="0.25">
      <c r="B39" s="3" t="s">
        <v>7</v>
      </c>
      <c r="C39" s="5">
        <v>5.8</v>
      </c>
      <c r="D39" t="str">
        <f t="shared" si="3"/>
        <v>NO</v>
      </c>
      <c r="E39">
        <f t="shared" si="4"/>
        <v>0</v>
      </c>
      <c r="F39" s="9" t="str">
        <f t="shared" si="5"/>
        <v/>
      </c>
    </row>
    <row r="40" spans="2:10" x14ac:dyDescent="0.25">
      <c r="B40" s="3" t="s">
        <v>8</v>
      </c>
      <c r="C40" s="5">
        <v>30.2</v>
      </c>
      <c r="D40" t="str">
        <f t="shared" si="3"/>
        <v>SI</v>
      </c>
      <c r="E40">
        <f t="shared" si="4"/>
        <v>1</v>
      </c>
      <c r="F40">
        <f t="shared" si="5"/>
        <v>6</v>
      </c>
    </row>
    <row r="41" spans="2:10" x14ac:dyDescent="0.25">
      <c r="B41" s="3" t="s">
        <v>9</v>
      </c>
      <c r="C41" s="5">
        <v>16</v>
      </c>
      <c r="D41" t="str">
        <f t="shared" si="3"/>
        <v>NO</v>
      </c>
      <c r="E41">
        <f t="shared" si="4"/>
        <v>0</v>
      </c>
      <c r="F41" s="9" t="str">
        <f t="shared" si="5"/>
        <v/>
      </c>
    </row>
    <row r="42" spans="2:10" x14ac:dyDescent="0.25">
      <c r="B42" s="3" t="s">
        <v>10</v>
      </c>
      <c r="C42" s="5">
        <v>12.5</v>
      </c>
      <c r="D42" t="str">
        <f t="shared" si="3"/>
        <v>NO</v>
      </c>
      <c r="E42">
        <f t="shared" si="4"/>
        <v>0</v>
      </c>
      <c r="F42" s="9" t="str">
        <f t="shared" si="5"/>
        <v/>
      </c>
    </row>
    <row r="43" spans="2:10" x14ac:dyDescent="0.25">
      <c r="B43" s="3" t="s">
        <v>11</v>
      </c>
      <c r="C43" s="5">
        <v>13.1</v>
      </c>
      <c r="D43" t="str">
        <f t="shared" si="3"/>
        <v>NO</v>
      </c>
      <c r="E43">
        <f t="shared" si="4"/>
        <v>0</v>
      </c>
      <c r="F43" s="9" t="str">
        <f t="shared" si="5"/>
        <v/>
      </c>
    </row>
    <row r="44" spans="2:10" x14ac:dyDescent="0.25">
      <c r="B44" s="3" t="s">
        <v>12</v>
      </c>
      <c r="C44" s="5">
        <v>8</v>
      </c>
      <c r="D44" t="str">
        <f t="shared" si="3"/>
        <v>NO</v>
      </c>
      <c r="E44">
        <f t="shared" si="4"/>
        <v>0</v>
      </c>
      <c r="F44" s="9" t="str">
        <f t="shared" si="5"/>
        <v/>
      </c>
    </row>
    <row r="45" spans="2:10" x14ac:dyDescent="0.25">
      <c r="B45" s="3" t="s">
        <v>13</v>
      </c>
      <c r="C45" s="5">
        <v>4.2</v>
      </c>
      <c r="D45" t="str">
        <f t="shared" si="3"/>
        <v>NO</v>
      </c>
      <c r="E45">
        <f t="shared" si="4"/>
        <v>0</v>
      </c>
      <c r="F45" s="9" t="str">
        <f t="shared" si="5"/>
        <v/>
      </c>
    </row>
    <row r="46" spans="2:10" x14ac:dyDescent="0.25">
      <c r="B46" s="3" t="s">
        <v>14</v>
      </c>
      <c r="C46" s="5">
        <v>5.2</v>
      </c>
      <c r="D46" t="str">
        <f t="shared" si="3"/>
        <v>NO</v>
      </c>
      <c r="E46">
        <f t="shared" si="4"/>
        <v>0</v>
      </c>
      <c r="F46" s="9" t="str">
        <f t="shared" si="5"/>
        <v/>
      </c>
    </row>
    <row r="47" spans="2:10" x14ac:dyDescent="0.25">
      <c r="B47" s="3" t="s">
        <v>15</v>
      </c>
      <c r="C47" s="5">
        <v>10.7</v>
      </c>
      <c r="D47" t="str">
        <f t="shared" si="3"/>
        <v>NO</v>
      </c>
      <c r="E47">
        <f t="shared" si="4"/>
        <v>0</v>
      </c>
      <c r="F47" s="9" t="str">
        <f t="shared" si="5"/>
        <v/>
      </c>
    </row>
    <row r="48" spans="2:10" x14ac:dyDescent="0.25">
      <c r="B48" s="3" t="s">
        <v>16</v>
      </c>
      <c r="C48" s="5">
        <v>8.3000000000000007</v>
      </c>
      <c r="D48" t="str">
        <f t="shared" si="3"/>
        <v>NO</v>
      </c>
      <c r="E48">
        <f t="shared" si="4"/>
        <v>0</v>
      </c>
      <c r="F48" s="9" t="str">
        <f t="shared" si="5"/>
        <v/>
      </c>
    </row>
    <row r="49" spans="2:10" x14ac:dyDescent="0.25">
      <c r="B49" s="3" t="s">
        <v>17</v>
      </c>
      <c r="C49" s="5">
        <v>12.8</v>
      </c>
      <c r="D49" t="str">
        <f t="shared" si="3"/>
        <v>NO</v>
      </c>
      <c r="E49">
        <f t="shared" si="4"/>
        <v>0</v>
      </c>
      <c r="F49" s="9" t="str">
        <f t="shared" si="5"/>
        <v/>
      </c>
    </row>
    <row r="50" spans="2:10" x14ac:dyDescent="0.25">
      <c r="B50" s="3" t="s">
        <v>18</v>
      </c>
      <c r="C50" s="5">
        <v>15.4</v>
      </c>
      <c r="D50" t="str">
        <f t="shared" si="3"/>
        <v>NO</v>
      </c>
      <c r="E50">
        <f t="shared" si="4"/>
        <v>0</v>
      </c>
      <c r="F50" s="9" t="str">
        <f t="shared" si="5"/>
        <v/>
      </c>
    </row>
    <row r="51" spans="2:10" x14ac:dyDescent="0.25">
      <c r="B51" s="3" t="s">
        <v>19</v>
      </c>
      <c r="C51" s="5">
        <v>7.8</v>
      </c>
      <c r="D51" t="str">
        <f t="shared" si="3"/>
        <v>NO</v>
      </c>
      <c r="E51">
        <f t="shared" si="4"/>
        <v>0</v>
      </c>
      <c r="F51" s="9" t="str">
        <f t="shared" si="5"/>
        <v/>
      </c>
    </row>
    <row r="52" spans="2:10" x14ac:dyDescent="0.25">
      <c r="B52" s="3" t="s">
        <v>20</v>
      </c>
      <c r="C52" s="5">
        <v>7.6</v>
      </c>
      <c r="D52" t="str">
        <f t="shared" si="3"/>
        <v>NO</v>
      </c>
      <c r="E52">
        <f t="shared" si="4"/>
        <v>0</v>
      </c>
      <c r="F52" s="9" t="str">
        <f t="shared" si="5"/>
        <v/>
      </c>
    </row>
    <row r="53" spans="2:10" x14ac:dyDescent="0.25">
      <c r="B53" s="3" t="s">
        <v>21</v>
      </c>
      <c r="C53" s="5">
        <v>3.6</v>
      </c>
      <c r="D53" t="str">
        <f t="shared" si="3"/>
        <v>NO</v>
      </c>
      <c r="E53">
        <f t="shared" si="4"/>
        <v>0</v>
      </c>
      <c r="F53" s="9" t="str">
        <f t="shared" si="5"/>
        <v/>
      </c>
    </row>
    <row r="54" spans="2:10" x14ac:dyDescent="0.25">
      <c r="B54" s="3" t="s">
        <v>22</v>
      </c>
      <c r="C54" s="5">
        <v>17.399999999999999</v>
      </c>
      <c r="D54" t="str">
        <f t="shared" si="3"/>
        <v>NO</v>
      </c>
      <c r="E54">
        <f t="shared" si="4"/>
        <v>0</v>
      </c>
      <c r="F54" s="9" t="str">
        <f t="shared" si="5"/>
        <v/>
      </c>
    </row>
    <row r="55" spans="2:10" x14ac:dyDescent="0.25">
      <c r="B55" s="3" t="s">
        <v>23</v>
      </c>
      <c r="C55" s="5" t="s">
        <v>32</v>
      </c>
      <c r="D55" t="str">
        <f t="shared" si="3"/>
        <v>NO</v>
      </c>
      <c r="E55">
        <f t="shared" si="4"/>
        <v>0</v>
      </c>
      <c r="F55" s="9" t="str">
        <f t="shared" si="5"/>
        <v/>
      </c>
    </row>
    <row r="56" spans="2:10" x14ac:dyDescent="0.25">
      <c r="B56" s="3" t="s">
        <v>24</v>
      </c>
      <c r="C56" s="5" t="s">
        <v>32</v>
      </c>
      <c r="D56" t="str">
        <f t="shared" si="3"/>
        <v>NO</v>
      </c>
      <c r="E56">
        <f t="shared" si="4"/>
        <v>0</v>
      </c>
      <c r="F56" s="9" t="str">
        <f t="shared" si="5"/>
        <v/>
      </c>
    </row>
    <row r="57" spans="2:10" ht="15.75" thickBot="1" x14ac:dyDescent="0.3">
      <c r="B57" s="6" t="s">
        <v>25</v>
      </c>
      <c r="C57" s="7" t="s">
        <v>32</v>
      </c>
      <c r="D57" t="str">
        <f t="shared" si="3"/>
        <v>NO</v>
      </c>
      <c r="E57">
        <f t="shared" si="4"/>
        <v>0</v>
      </c>
      <c r="F57" s="9" t="str">
        <f t="shared" si="5"/>
        <v/>
      </c>
    </row>
    <row r="59" spans="2:10" ht="15.75" thickBot="1" x14ac:dyDescent="0.3"/>
    <row r="60" spans="2:10" x14ac:dyDescent="0.25">
      <c r="B60" s="150" t="s">
        <v>38</v>
      </c>
      <c r="C60" s="151"/>
      <c r="D60" s="22" t="s">
        <v>39</v>
      </c>
      <c r="E60" s="30">
        <f>SUM(C62:C86)/22</f>
        <v>12.954545454545455</v>
      </c>
      <c r="F60" s="24"/>
      <c r="H60" s="8" t="str" cm="1">
        <f t="array" ref="H60:J66">_xlfn.VSTACK({"Ranking","Universidad","score"},_xlfn._xlws.SORT(_xlfn._xlws.FILTER(CHOOSE({1,2,3},F62:F86,B62:B86,C62:C86),F62:F86&lt;&gt;""),1,TRUE))</f>
        <v>Ranking</v>
      </c>
      <c r="I60" s="8" t="str">
        <v>Universidad</v>
      </c>
      <c r="J60" s="8" t="str">
        <v>score</v>
      </c>
    </row>
    <row r="61" spans="2:10" ht="15.75" thickBot="1" x14ac:dyDescent="0.3">
      <c r="B61" s="1" t="s">
        <v>0</v>
      </c>
      <c r="C61" s="2" t="s">
        <v>35</v>
      </c>
      <c r="D61" s="25" t="s">
        <v>40</v>
      </c>
      <c r="E61" s="31" t="s">
        <v>29</v>
      </c>
      <c r="F61" s="32" t="s">
        <v>30</v>
      </c>
      <c r="H61">
        <v>1</v>
      </c>
      <c r="I61" t="str">
        <v>Instituto Tecnológico Autonomo de México (ITAM)</v>
      </c>
      <c r="J61">
        <v>51.1</v>
      </c>
    </row>
    <row r="62" spans="2:10" x14ac:dyDescent="0.25">
      <c r="B62" s="3" t="s">
        <v>1</v>
      </c>
      <c r="C62" s="5">
        <v>10</v>
      </c>
      <c r="D62" t="str">
        <f>IF(ISNUMBER(C62), IF(C62 &gt; 13, "SI", "NO"), "NO")</f>
        <v>NO</v>
      </c>
      <c r="E62">
        <f>IF(D62="SI", 1, 0)</f>
        <v>0</v>
      </c>
      <c r="F62" s="9" t="str">
        <f>IF(E62=1,COUNTIFS($E$62:$E$86,1,$C$62:$C$86,"&gt;"&amp;C62)+1,"")</f>
        <v/>
      </c>
      <c r="H62">
        <v>2</v>
      </c>
      <c r="I62" t="str">
        <v>Universidad Autónoma de Guadalajara</v>
      </c>
      <c r="J62">
        <v>45.7</v>
      </c>
    </row>
    <row r="63" spans="2:10" x14ac:dyDescent="0.25">
      <c r="B63" s="3" t="s">
        <v>2</v>
      </c>
      <c r="C63" s="5">
        <v>24.5</v>
      </c>
      <c r="D63" t="str">
        <f t="shared" ref="D63:D86" si="6">IF(ISNUMBER(C63), IF(C63 &gt; 13, "SI", "NO"), "NO")</f>
        <v>SI</v>
      </c>
      <c r="E63">
        <f t="shared" ref="E63:E86" si="7">IF(D63="SI", 1, 0)</f>
        <v>1</v>
      </c>
      <c r="F63" s="9">
        <f t="shared" ref="F63:F86" si="8">IF(E63=1,COUNTIFS($E$62:$E$86,1,$C$62:$C$86,"&gt;"&amp;C63)+1,"")</f>
        <v>3</v>
      </c>
      <c r="H63">
        <v>3</v>
      </c>
      <c r="I63" t="str">
        <v>Tecnológico de Monterrey (ITESM)</v>
      </c>
      <c r="J63">
        <v>24.5</v>
      </c>
    </row>
    <row r="64" spans="2:10" x14ac:dyDescent="0.25">
      <c r="B64" s="3" t="s">
        <v>3</v>
      </c>
      <c r="C64" s="5">
        <v>24.5</v>
      </c>
      <c r="D64" t="str">
        <f t="shared" si="6"/>
        <v>SI</v>
      </c>
      <c r="E64">
        <f t="shared" si="7"/>
        <v>1</v>
      </c>
      <c r="F64" s="9">
        <f t="shared" si="8"/>
        <v>3</v>
      </c>
      <c r="H64">
        <v>3</v>
      </c>
      <c r="I64" t="str">
        <v>Universidad Panamericana (UP)</v>
      </c>
      <c r="J64">
        <v>24.5</v>
      </c>
    </row>
    <row r="65" spans="2:10" x14ac:dyDescent="0.25">
      <c r="B65" s="3" t="s">
        <v>4</v>
      </c>
      <c r="C65" s="5">
        <v>51.1</v>
      </c>
      <c r="D65" t="str">
        <f t="shared" si="6"/>
        <v>SI</v>
      </c>
      <c r="E65">
        <f t="shared" si="7"/>
        <v>1</v>
      </c>
      <c r="F65" s="9">
        <f t="shared" si="8"/>
        <v>1</v>
      </c>
      <c r="H65">
        <v>5</v>
      </c>
      <c r="I65" t="str">
        <v>Universidad de las Américas Puebla (UDLAP)</v>
      </c>
      <c r="J65">
        <v>21.9</v>
      </c>
    </row>
    <row r="66" spans="2:10" x14ac:dyDescent="0.25">
      <c r="B66" s="3" t="s">
        <v>5</v>
      </c>
      <c r="C66" s="5">
        <v>6.7</v>
      </c>
      <c r="D66" t="str">
        <f t="shared" si="6"/>
        <v>NO</v>
      </c>
      <c r="E66">
        <f t="shared" si="7"/>
        <v>0</v>
      </c>
      <c r="F66" s="9" t="str">
        <f t="shared" si="8"/>
        <v/>
      </c>
      <c r="H66">
        <v>6</v>
      </c>
      <c r="I66" t="str">
        <v>Universidad de Monterrey</v>
      </c>
      <c r="J66">
        <v>18.2</v>
      </c>
    </row>
    <row r="67" spans="2:10" x14ac:dyDescent="0.25">
      <c r="B67" s="3" t="s">
        <v>6</v>
      </c>
      <c r="C67" s="5">
        <v>6.2</v>
      </c>
      <c r="D67" t="str">
        <f t="shared" si="6"/>
        <v>NO</v>
      </c>
      <c r="E67">
        <f t="shared" si="7"/>
        <v>0</v>
      </c>
      <c r="F67" s="9" t="str">
        <f t="shared" si="8"/>
        <v/>
      </c>
    </row>
    <row r="68" spans="2:10" x14ac:dyDescent="0.25">
      <c r="B68" s="3" t="s">
        <v>7</v>
      </c>
      <c r="C68" s="5">
        <v>11.5</v>
      </c>
      <c r="D68" t="str">
        <f t="shared" si="6"/>
        <v>NO</v>
      </c>
      <c r="E68">
        <f t="shared" si="7"/>
        <v>0</v>
      </c>
      <c r="F68" s="9" t="str">
        <f t="shared" si="8"/>
        <v/>
      </c>
    </row>
    <row r="69" spans="2:10" x14ac:dyDescent="0.25">
      <c r="B69" s="3" t="s">
        <v>8</v>
      </c>
      <c r="C69" s="5">
        <v>8.1</v>
      </c>
      <c r="D69" t="str">
        <f t="shared" si="6"/>
        <v>NO</v>
      </c>
      <c r="E69">
        <f t="shared" si="7"/>
        <v>0</v>
      </c>
      <c r="F69" s="9" t="str">
        <f t="shared" si="8"/>
        <v/>
      </c>
    </row>
    <row r="70" spans="2:10" x14ac:dyDescent="0.25">
      <c r="B70" s="3" t="s">
        <v>9</v>
      </c>
      <c r="C70" s="5">
        <v>11.5</v>
      </c>
      <c r="D70" t="str">
        <f t="shared" si="6"/>
        <v>NO</v>
      </c>
      <c r="E70">
        <f t="shared" si="7"/>
        <v>0</v>
      </c>
      <c r="F70" s="9" t="str">
        <f t="shared" si="8"/>
        <v/>
      </c>
    </row>
    <row r="71" spans="2:10" x14ac:dyDescent="0.25">
      <c r="B71" s="3" t="s">
        <v>10</v>
      </c>
      <c r="C71" s="5">
        <v>2.8</v>
      </c>
      <c r="D71" t="str">
        <f t="shared" si="6"/>
        <v>NO</v>
      </c>
      <c r="E71">
        <f t="shared" si="7"/>
        <v>0</v>
      </c>
      <c r="F71" s="9" t="str">
        <f t="shared" si="8"/>
        <v/>
      </c>
    </row>
    <row r="72" spans="2:10" x14ac:dyDescent="0.25">
      <c r="B72" s="3" t="s">
        <v>11</v>
      </c>
      <c r="C72" s="5">
        <v>21.9</v>
      </c>
      <c r="D72" t="str">
        <f t="shared" si="6"/>
        <v>SI</v>
      </c>
      <c r="E72">
        <f t="shared" si="7"/>
        <v>1</v>
      </c>
      <c r="F72" s="9">
        <f t="shared" si="8"/>
        <v>5</v>
      </c>
    </row>
    <row r="73" spans="2:10" x14ac:dyDescent="0.25">
      <c r="B73" s="3" t="s">
        <v>12</v>
      </c>
      <c r="C73" s="5">
        <v>3.6</v>
      </c>
      <c r="D73" t="str">
        <f t="shared" si="6"/>
        <v>NO</v>
      </c>
      <c r="E73">
        <f t="shared" si="7"/>
        <v>0</v>
      </c>
      <c r="F73" s="9" t="str">
        <f t="shared" si="8"/>
        <v/>
      </c>
    </row>
    <row r="74" spans="2:10" x14ac:dyDescent="0.25">
      <c r="B74" s="3" t="s">
        <v>13</v>
      </c>
      <c r="C74" s="5">
        <v>8.6999999999999993</v>
      </c>
      <c r="D74" t="str">
        <f t="shared" si="6"/>
        <v>NO</v>
      </c>
      <c r="E74">
        <f t="shared" si="7"/>
        <v>0</v>
      </c>
      <c r="F74" s="9" t="str">
        <f t="shared" si="8"/>
        <v/>
      </c>
    </row>
    <row r="75" spans="2:10" x14ac:dyDescent="0.25">
      <c r="B75" s="3" t="s">
        <v>14</v>
      </c>
      <c r="C75" s="5">
        <v>45.7</v>
      </c>
      <c r="D75" t="str">
        <f t="shared" si="6"/>
        <v>SI</v>
      </c>
      <c r="E75">
        <f t="shared" si="7"/>
        <v>1</v>
      </c>
      <c r="F75" s="9">
        <f t="shared" si="8"/>
        <v>2</v>
      </c>
    </row>
    <row r="76" spans="2:10" x14ac:dyDescent="0.25">
      <c r="B76" s="3" t="s">
        <v>15</v>
      </c>
      <c r="C76" s="5">
        <v>4</v>
      </c>
      <c r="D76" t="str">
        <f t="shared" si="6"/>
        <v>NO</v>
      </c>
      <c r="E76">
        <f t="shared" si="7"/>
        <v>0</v>
      </c>
      <c r="F76" s="9" t="str">
        <f t="shared" si="8"/>
        <v/>
      </c>
    </row>
    <row r="77" spans="2:10" x14ac:dyDescent="0.25">
      <c r="B77" s="3" t="s">
        <v>16</v>
      </c>
      <c r="C77" s="5">
        <v>2.6</v>
      </c>
      <c r="D77" t="str">
        <f t="shared" si="6"/>
        <v>NO</v>
      </c>
      <c r="E77">
        <f t="shared" si="7"/>
        <v>0</v>
      </c>
      <c r="F77" s="9" t="str">
        <f t="shared" si="8"/>
        <v/>
      </c>
    </row>
    <row r="78" spans="2:10" x14ac:dyDescent="0.25">
      <c r="B78" s="3" t="s">
        <v>17</v>
      </c>
      <c r="C78" s="5">
        <v>3.9</v>
      </c>
      <c r="D78" t="str">
        <f t="shared" si="6"/>
        <v>NO</v>
      </c>
      <c r="E78">
        <f t="shared" si="7"/>
        <v>0</v>
      </c>
      <c r="F78" s="9" t="str">
        <f t="shared" si="8"/>
        <v/>
      </c>
    </row>
    <row r="79" spans="2:10" x14ac:dyDescent="0.25">
      <c r="B79" s="3" t="s">
        <v>18</v>
      </c>
      <c r="C79" s="5">
        <v>18.2</v>
      </c>
      <c r="D79" t="str">
        <f t="shared" si="6"/>
        <v>SI</v>
      </c>
      <c r="E79">
        <f t="shared" si="7"/>
        <v>1</v>
      </c>
      <c r="F79" s="9">
        <f t="shared" si="8"/>
        <v>6</v>
      </c>
    </row>
    <row r="80" spans="2:10" x14ac:dyDescent="0.25">
      <c r="B80" s="3" t="s">
        <v>19</v>
      </c>
      <c r="C80" s="5">
        <v>3.8</v>
      </c>
      <c r="D80" t="str">
        <f t="shared" si="6"/>
        <v>NO</v>
      </c>
      <c r="E80">
        <f t="shared" si="7"/>
        <v>0</v>
      </c>
      <c r="F80" s="9" t="str">
        <f t="shared" si="8"/>
        <v/>
      </c>
    </row>
    <row r="81" spans="2:10" x14ac:dyDescent="0.25">
      <c r="B81" s="3" t="s">
        <v>20</v>
      </c>
      <c r="C81" s="5">
        <v>4.8</v>
      </c>
      <c r="D81" t="str">
        <f t="shared" si="6"/>
        <v>NO</v>
      </c>
      <c r="E81">
        <f t="shared" si="7"/>
        <v>0</v>
      </c>
      <c r="F81" s="9" t="str">
        <f t="shared" si="8"/>
        <v/>
      </c>
    </row>
    <row r="82" spans="2:10" x14ac:dyDescent="0.25">
      <c r="B82" s="3" t="s">
        <v>21</v>
      </c>
      <c r="C82" s="5">
        <v>7.5</v>
      </c>
      <c r="D82" t="str">
        <f t="shared" si="6"/>
        <v>NO</v>
      </c>
      <c r="E82">
        <f t="shared" si="7"/>
        <v>0</v>
      </c>
      <c r="F82" s="9" t="str">
        <f t="shared" si="8"/>
        <v/>
      </c>
    </row>
    <row r="83" spans="2:10" x14ac:dyDescent="0.25">
      <c r="B83" s="3" t="s">
        <v>22</v>
      </c>
      <c r="C83" s="5">
        <v>3.4</v>
      </c>
      <c r="D83" t="str">
        <f t="shared" si="6"/>
        <v>NO</v>
      </c>
      <c r="E83">
        <f t="shared" si="7"/>
        <v>0</v>
      </c>
      <c r="F83" s="9" t="str">
        <f t="shared" si="8"/>
        <v/>
      </c>
    </row>
    <row r="84" spans="2:10" x14ac:dyDescent="0.25">
      <c r="B84" s="3" t="s">
        <v>23</v>
      </c>
      <c r="C84" s="5" t="s">
        <v>32</v>
      </c>
      <c r="D84" t="str">
        <f t="shared" si="6"/>
        <v>NO</v>
      </c>
      <c r="E84">
        <f t="shared" si="7"/>
        <v>0</v>
      </c>
      <c r="F84" s="9" t="str">
        <f t="shared" si="8"/>
        <v/>
      </c>
    </row>
    <row r="85" spans="2:10" x14ac:dyDescent="0.25">
      <c r="B85" s="3" t="s">
        <v>24</v>
      </c>
      <c r="C85" s="5" t="s">
        <v>32</v>
      </c>
      <c r="D85" t="str">
        <f t="shared" si="6"/>
        <v>NO</v>
      </c>
      <c r="E85">
        <f t="shared" si="7"/>
        <v>0</v>
      </c>
      <c r="F85" s="9" t="str">
        <f t="shared" si="8"/>
        <v/>
      </c>
    </row>
    <row r="86" spans="2:10" ht="15.75" thickBot="1" x14ac:dyDescent="0.3">
      <c r="B86" s="6" t="s">
        <v>25</v>
      </c>
      <c r="C86" s="7" t="s">
        <v>32</v>
      </c>
      <c r="D86" t="str">
        <f t="shared" si="6"/>
        <v>NO</v>
      </c>
      <c r="E86">
        <f t="shared" si="7"/>
        <v>0</v>
      </c>
      <c r="F86" s="9" t="str">
        <f t="shared" si="8"/>
        <v/>
      </c>
    </row>
    <row r="87" spans="2:10" ht="15.75" thickBot="1" x14ac:dyDescent="0.3"/>
    <row r="88" spans="2:10" x14ac:dyDescent="0.25">
      <c r="B88" s="152" t="s">
        <v>41</v>
      </c>
      <c r="C88" s="153"/>
      <c r="D88" s="22" t="s">
        <v>39</v>
      </c>
      <c r="E88" s="30">
        <f>SUM(C90:C111)/22</f>
        <v>2.586363636363636</v>
      </c>
      <c r="F88" s="24"/>
      <c r="H88" s="8" t="str" cm="1">
        <f t="array" ref="H88:J98">_xlfn.VSTACK({"Ranking","Universidad","Score"},_xlfn._xlws.SORT(_xlfn._xlws.FILTER(CHOOSE({1,2,3},F90:F114,B90:B114,C90:C114),F90:F114&lt;&gt;""),1,TRUE))</f>
        <v>Ranking</v>
      </c>
      <c r="I88" s="8" t="str">
        <v>Universidad</v>
      </c>
      <c r="J88" s="8" t="str">
        <v>Score</v>
      </c>
    </row>
    <row r="89" spans="2:10" ht="15.75" thickBot="1" x14ac:dyDescent="0.3">
      <c r="B89" s="10" t="s">
        <v>42</v>
      </c>
      <c r="C89" s="11" t="s">
        <v>43</v>
      </c>
      <c r="D89" s="25" t="s">
        <v>44</v>
      </c>
      <c r="E89" s="31" t="s">
        <v>29</v>
      </c>
      <c r="F89" s="32" t="s">
        <v>30</v>
      </c>
      <c r="H89">
        <v>1</v>
      </c>
      <c r="I89" t="str">
        <v>Tecnológico de Monterrey (ITESM)</v>
      </c>
      <c r="J89">
        <v>4.8</v>
      </c>
    </row>
    <row r="90" spans="2:10" x14ac:dyDescent="0.25">
      <c r="B90" s="1" t="s">
        <v>1</v>
      </c>
      <c r="C90" s="11">
        <v>4.0999999999999996</v>
      </c>
      <c r="D90" t="str">
        <f>IF(ISNUMBER(C90), IF(C90&gt;2.6, "SI", "NO"), "NO")</f>
        <v>SI</v>
      </c>
      <c r="E90">
        <f>IF(D90="SI", 1, 0)</f>
        <v>1</v>
      </c>
      <c r="F90">
        <f>IF(E90=1,COUNTIFS($E$90:$E$114,1,$C$90:$C$114,"&gt;"&amp;C90)+1,"")</f>
        <v>4</v>
      </c>
      <c r="H90">
        <v>1</v>
      </c>
      <c r="I90" t="str">
        <v>Universidad de Guanajuato</v>
      </c>
      <c r="J90">
        <v>4.8</v>
      </c>
    </row>
    <row r="91" spans="2:10" x14ac:dyDescent="0.25">
      <c r="B91" s="1" t="s">
        <v>2</v>
      </c>
      <c r="C91" s="11">
        <v>4.8</v>
      </c>
      <c r="D91" t="str">
        <f t="shared" ref="D91:D114" si="9">IF(ISNUMBER(C91), IF(C91&gt;2.6, "SI", "NO"), "NO")</f>
        <v>SI</v>
      </c>
      <c r="E91">
        <f t="shared" ref="E91:E114" si="10">IF(D91="SI", 1, 0)</f>
        <v>1</v>
      </c>
      <c r="F91">
        <f t="shared" ref="F91:F114" si="11">IF(E91=1,COUNTIFS($E$90:$E$114,1,$C$90:$C$114,"&gt;"&amp;C91)+1,"")</f>
        <v>1</v>
      </c>
      <c r="H91">
        <v>3</v>
      </c>
      <c r="I91" t="str">
        <v>Universidad Autónoma Metropolitana (UAM)</v>
      </c>
      <c r="J91">
        <v>4.3</v>
      </c>
    </row>
    <row r="92" spans="2:10" x14ac:dyDescent="0.25">
      <c r="B92" s="1" t="s">
        <v>3</v>
      </c>
      <c r="C92" s="11">
        <v>1.7</v>
      </c>
      <c r="D92" t="str">
        <f t="shared" si="9"/>
        <v>NO</v>
      </c>
      <c r="E92">
        <f t="shared" si="10"/>
        <v>0</v>
      </c>
      <c r="F92" s="9" t="str">
        <f t="shared" si="11"/>
        <v/>
      </c>
      <c r="H92">
        <v>4</v>
      </c>
      <c r="I92" t="str">
        <v>Universidad Nacional Autónoma de México (UNAM)</v>
      </c>
      <c r="J92">
        <v>4.0999999999999996</v>
      </c>
    </row>
    <row r="93" spans="2:10" x14ac:dyDescent="0.25">
      <c r="B93" s="1" t="s">
        <v>4</v>
      </c>
      <c r="C93" s="11">
        <v>2.7</v>
      </c>
      <c r="D93" t="str">
        <f t="shared" si="9"/>
        <v>SI</v>
      </c>
      <c r="E93">
        <f t="shared" si="10"/>
        <v>1</v>
      </c>
      <c r="F93">
        <f t="shared" si="11"/>
        <v>10</v>
      </c>
      <c r="H93">
        <v>5</v>
      </c>
      <c r="I93" t="str">
        <v>Universidad de las Américas Puebla (UDLAP)</v>
      </c>
      <c r="J93">
        <v>3.4</v>
      </c>
    </row>
    <row r="94" spans="2:10" x14ac:dyDescent="0.25">
      <c r="B94" s="1" t="s">
        <v>5</v>
      </c>
      <c r="C94" s="11">
        <v>3.1</v>
      </c>
      <c r="D94" t="str">
        <f t="shared" si="9"/>
        <v>SI</v>
      </c>
      <c r="E94">
        <f t="shared" si="10"/>
        <v>1</v>
      </c>
      <c r="F94">
        <f t="shared" si="11"/>
        <v>6</v>
      </c>
      <c r="H94">
        <v>6</v>
      </c>
      <c r="I94" t="str">
        <v>Instituto Politécnico Nacional (IPN)</v>
      </c>
      <c r="J94">
        <v>3.1</v>
      </c>
    </row>
    <row r="95" spans="2:10" x14ac:dyDescent="0.25">
      <c r="B95" s="1" t="s">
        <v>6</v>
      </c>
      <c r="C95" s="11">
        <v>1.4</v>
      </c>
      <c r="D95" t="str">
        <f t="shared" si="9"/>
        <v>NO</v>
      </c>
      <c r="E95">
        <f t="shared" si="10"/>
        <v>0</v>
      </c>
      <c r="F95" s="9" t="str">
        <f t="shared" si="11"/>
        <v/>
      </c>
      <c r="H95">
        <v>7</v>
      </c>
      <c r="I95" t="str">
        <v>Colegio de México</v>
      </c>
      <c r="J95">
        <v>2.9</v>
      </c>
    </row>
    <row r="96" spans="2:10" x14ac:dyDescent="0.25">
      <c r="B96" s="1" t="s">
        <v>7</v>
      </c>
      <c r="C96" s="11">
        <v>2.9</v>
      </c>
      <c r="D96" t="str">
        <f t="shared" si="9"/>
        <v>SI</v>
      </c>
      <c r="E96">
        <f t="shared" si="10"/>
        <v>1</v>
      </c>
      <c r="F96">
        <f t="shared" si="11"/>
        <v>7</v>
      </c>
      <c r="H96">
        <v>7</v>
      </c>
      <c r="I96" t="str">
        <v>Benemérita Universidad Autónoma de Puebla</v>
      </c>
      <c r="J96">
        <v>2.9</v>
      </c>
    </row>
    <row r="97" spans="2:10" x14ac:dyDescent="0.25">
      <c r="B97" s="1" t="s">
        <v>8</v>
      </c>
      <c r="C97" s="11">
        <v>1.8</v>
      </c>
      <c r="D97" t="str">
        <f t="shared" si="9"/>
        <v>NO</v>
      </c>
      <c r="E97">
        <f t="shared" si="10"/>
        <v>0</v>
      </c>
      <c r="F97" s="9" t="str">
        <f t="shared" si="11"/>
        <v/>
      </c>
      <c r="H97">
        <v>7</v>
      </c>
      <c r="I97" t="str">
        <v>Universidad Autónoma de Nuevo León (UANL)</v>
      </c>
      <c r="J97">
        <v>2.9</v>
      </c>
    </row>
    <row r="98" spans="2:10" x14ac:dyDescent="0.25">
      <c r="B98" s="1" t="s">
        <v>9</v>
      </c>
      <c r="C98" s="11">
        <v>4.3</v>
      </c>
      <c r="D98" t="str">
        <f t="shared" si="9"/>
        <v>SI</v>
      </c>
      <c r="E98">
        <f t="shared" si="10"/>
        <v>1</v>
      </c>
      <c r="F98">
        <f t="shared" si="11"/>
        <v>3</v>
      </c>
      <c r="H98">
        <v>10</v>
      </c>
      <c r="I98" t="str">
        <v>Instituto Tecnológico Autonomo de México (ITAM)</v>
      </c>
      <c r="J98">
        <v>2.7</v>
      </c>
    </row>
    <row r="99" spans="2:10" x14ac:dyDescent="0.25">
      <c r="B99" s="1" t="s">
        <v>10</v>
      </c>
      <c r="C99" s="11">
        <v>1.6</v>
      </c>
      <c r="D99" t="str">
        <f t="shared" si="9"/>
        <v>NO</v>
      </c>
      <c r="E99">
        <f t="shared" si="10"/>
        <v>0</v>
      </c>
      <c r="F99" s="9" t="str">
        <f t="shared" si="11"/>
        <v/>
      </c>
    </row>
    <row r="100" spans="2:10" x14ac:dyDescent="0.25">
      <c r="B100" s="1" t="s">
        <v>11</v>
      </c>
      <c r="C100" s="11">
        <v>3.4</v>
      </c>
      <c r="D100" t="str">
        <f t="shared" si="9"/>
        <v>SI</v>
      </c>
      <c r="E100">
        <f t="shared" si="10"/>
        <v>1</v>
      </c>
      <c r="F100">
        <f t="shared" si="11"/>
        <v>5</v>
      </c>
    </row>
    <row r="101" spans="2:10" x14ac:dyDescent="0.25">
      <c r="B101" s="1" t="s">
        <v>12</v>
      </c>
      <c r="C101" s="11">
        <v>2.9</v>
      </c>
      <c r="D101" t="str">
        <f t="shared" si="9"/>
        <v>SI</v>
      </c>
      <c r="E101">
        <f t="shared" si="10"/>
        <v>1</v>
      </c>
      <c r="F101">
        <f t="shared" si="11"/>
        <v>7</v>
      </c>
    </row>
    <row r="102" spans="2:10" x14ac:dyDescent="0.25">
      <c r="B102" s="1" t="s">
        <v>13</v>
      </c>
      <c r="C102" s="11">
        <v>2.1</v>
      </c>
      <c r="D102" t="str">
        <f t="shared" si="9"/>
        <v>NO</v>
      </c>
      <c r="E102">
        <f t="shared" si="10"/>
        <v>0</v>
      </c>
      <c r="F102" s="9" t="str">
        <f t="shared" si="11"/>
        <v/>
      </c>
    </row>
    <row r="103" spans="2:10" x14ac:dyDescent="0.25">
      <c r="B103" s="1" t="s">
        <v>14</v>
      </c>
      <c r="C103" s="11">
        <v>1.2</v>
      </c>
      <c r="D103" t="str">
        <f t="shared" si="9"/>
        <v>NO</v>
      </c>
      <c r="E103">
        <f t="shared" si="10"/>
        <v>0</v>
      </c>
      <c r="F103" s="9" t="str">
        <f t="shared" si="11"/>
        <v/>
      </c>
    </row>
    <row r="104" spans="2:10" x14ac:dyDescent="0.25">
      <c r="B104" s="1" t="s">
        <v>15</v>
      </c>
      <c r="C104" s="11">
        <v>2.9</v>
      </c>
      <c r="D104" t="str">
        <f t="shared" si="9"/>
        <v>SI</v>
      </c>
      <c r="E104">
        <f t="shared" si="10"/>
        <v>1</v>
      </c>
      <c r="F104">
        <f t="shared" si="11"/>
        <v>7</v>
      </c>
    </row>
    <row r="105" spans="2:10" x14ac:dyDescent="0.25">
      <c r="B105" s="1" t="s">
        <v>16</v>
      </c>
      <c r="C105" s="11">
        <v>1.9</v>
      </c>
      <c r="D105" t="str">
        <f t="shared" si="9"/>
        <v>NO</v>
      </c>
      <c r="E105">
        <f t="shared" si="10"/>
        <v>0</v>
      </c>
      <c r="F105" s="9" t="str">
        <f t="shared" si="11"/>
        <v/>
      </c>
    </row>
    <row r="106" spans="2:10" x14ac:dyDescent="0.25">
      <c r="B106" s="1" t="s">
        <v>17</v>
      </c>
      <c r="C106" s="11">
        <v>2</v>
      </c>
      <c r="D106" t="str">
        <f t="shared" si="9"/>
        <v>NO</v>
      </c>
      <c r="E106">
        <f t="shared" si="10"/>
        <v>0</v>
      </c>
      <c r="F106" s="9" t="str">
        <f t="shared" si="11"/>
        <v/>
      </c>
    </row>
    <row r="107" spans="2:10" x14ac:dyDescent="0.25">
      <c r="B107" s="1" t="s">
        <v>18</v>
      </c>
      <c r="C107" s="11">
        <v>2.4</v>
      </c>
      <c r="D107" t="str">
        <f t="shared" si="9"/>
        <v>NO</v>
      </c>
      <c r="E107">
        <f t="shared" si="10"/>
        <v>0</v>
      </c>
      <c r="F107" s="9" t="str">
        <f t="shared" si="11"/>
        <v/>
      </c>
    </row>
    <row r="108" spans="2:10" x14ac:dyDescent="0.25">
      <c r="B108" s="1" t="s">
        <v>19</v>
      </c>
      <c r="C108" s="11">
        <v>1.2</v>
      </c>
      <c r="D108" t="str">
        <f t="shared" si="9"/>
        <v>NO</v>
      </c>
      <c r="E108">
        <f t="shared" si="10"/>
        <v>0</v>
      </c>
      <c r="F108" s="9" t="str">
        <f t="shared" si="11"/>
        <v/>
      </c>
    </row>
    <row r="109" spans="2:10" x14ac:dyDescent="0.25">
      <c r="B109" s="1" t="s">
        <v>20</v>
      </c>
      <c r="C109" s="11">
        <v>2.2999999999999998</v>
      </c>
      <c r="D109" t="str">
        <f t="shared" si="9"/>
        <v>NO</v>
      </c>
      <c r="E109">
        <f t="shared" si="10"/>
        <v>0</v>
      </c>
      <c r="F109" s="9" t="str">
        <f t="shared" si="11"/>
        <v/>
      </c>
    </row>
    <row r="110" spans="2:10" x14ac:dyDescent="0.25">
      <c r="B110" s="1" t="s">
        <v>21</v>
      </c>
      <c r="C110" s="11">
        <v>4.8</v>
      </c>
      <c r="D110" t="str">
        <f t="shared" si="9"/>
        <v>SI</v>
      </c>
      <c r="E110">
        <f t="shared" si="10"/>
        <v>1</v>
      </c>
      <c r="F110">
        <f t="shared" si="11"/>
        <v>1</v>
      </c>
    </row>
    <row r="111" spans="2:10" x14ac:dyDescent="0.25">
      <c r="B111" s="1" t="s">
        <v>22</v>
      </c>
      <c r="C111" s="11">
        <v>1.4</v>
      </c>
      <c r="D111" t="str">
        <f t="shared" si="9"/>
        <v>NO</v>
      </c>
      <c r="E111">
        <f t="shared" si="10"/>
        <v>0</v>
      </c>
      <c r="F111" s="9" t="str">
        <f t="shared" si="11"/>
        <v/>
      </c>
    </row>
    <row r="112" spans="2:10" x14ac:dyDescent="0.25">
      <c r="B112" s="3" t="s">
        <v>23</v>
      </c>
      <c r="C112" s="11" t="s">
        <v>31</v>
      </c>
      <c r="D112" t="str">
        <f t="shared" si="9"/>
        <v>NO</v>
      </c>
      <c r="E112">
        <f t="shared" si="10"/>
        <v>0</v>
      </c>
      <c r="F112" s="9" t="str">
        <f t="shared" si="11"/>
        <v/>
      </c>
    </row>
    <row r="113" spans="2:6" x14ac:dyDescent="0.25">
      <c r="B113" s="3" t="s">
        <v>24</v>
      </c>
      <c r="C113" s="11" t="s">
        <v>31</v>
      </c>
      <c r="D113" t="str">
        <f t="shared" si="9"/>
        <v>NO</v>
      </c>
      <c r="E113">
        <f t="shared" si="10"/>
        <v>0</v>
      </c>
      <c r="F113" s="9" t="str">
        <f t="shared" si="11"/>
        <v/>
      </c>
    </row>
    <row r="114" spans="2:6" ht="15.75" thickBot="1" x14ac:dyDescent="0.3">
      <c r="B114" s="6" t="s">
        <v>25</v>
      </c>
      <c r="C114" s="12" t="s">
        <v>31</v>
      </c>
      <c r="D114" t="str">
        <f t="shared" si="9"/>
        <v>NO</v>
      </c>
      <c r="E114">
        <f t="shared" si="10"/>
        <v>0</v>
      </c>
      <c r="F114" s="9" t="str">
        <f t="shared" si="11"/>
        <v/>
      </c>
    </row>
  </sheetData>
  <mergeCells count="4">
    <mergeCell ref="B2:C2"/>
    <mergeCell ref="B31:C31"/>
    <mergeCell ref="B60:C60"/>
    <mergeCell ref="B88:C88"/>
  </mergeCells>
  <conditionalFormatting sqref="D4:D28">
    <cfRule type="containsText" dxfId="49" priority="26" operator="containsText" text="NO">
      <formula>NOT(ISERROR(SEARCH("NO",D4)))</formula>
    </cfRule>
    <cfRule type="containsText" dxfId="48" priority="27" operator="containsText" text="SI">
      <formula>NOT(ISERROR(SEARCH("SI",D4)))</formula>
    </cfRule>
  </conditionalFormatting>
  <conditionalFormatting sqref="D33:D57">
    <cfRule type="containsText" dxfId="47" priority="21" operator="containsText" text="NO">
      <formula>NOT(ISERROR(SEARCH("NO",D33)))</formula>
    </cfRule>
    <cfRule type="containsText" dxfId="46" priority="22" operator="containsText" text="SI">
      <formula>NOT(ISERROR(SEARCH("SI",D33)))</formula>
    </cfRule>
  </conditionalFormatting>
  <conditionalFormatting sqref="D62:D86">
    <cfRule type="containsText" dxfId="45" priority="16" operator="containsText" text="NO">
      <formula>NOT(ISERROR(SEARCH("NO",D62)))</formula>
    </cfRule>
    <cfRule type="containsText" dxfId="44" priority="17" operator="containsText" text="SI">
      <formula>NOT(ISERROR(SEARCH("SI",D62)))</formula>
    </cfRule>
  </conditionalFormatting>
  <conditionalFormatting sqref="D90:D114">
    <cfRule type="containsText" dxfId="43" priority="4" operator="containsText" text="NO">
      <formula>NOT(ISERROR(SEARCH("NO",D90)))</formula>
    </cfRule>
    <cfRule type="containsText" dxfId="42" priority="5" operator="containsText" text="SI">
      <formula>NOT(ISERROR(SEARCH("SI",D90)))</formula>
    </cfRule>
  </conditionalFormatting>
  <conditionalFormatting sqref="E4:E28">
    <cfRule type="containsText" dxfId="41" priority="24" operator="containsText" text="0">
      <formula>NOT(ISERROR(SEARCH("0",E4)))</formula>
    </cfRule>
    <cfRule type="containsText" dxfId="40" priority="25" operator="containsText" text="1">
      <formula>NOT(ISERROR(SEARCH("1",E4)))</formula>
    </cfRule>
  </conditionalFormatting>
  <conditionalFormatting sqref="E33:E57">
    <cfRule type="containsText" dxfId="39" priority="19" operator="containsText" text="0">
      <formula>NOT(ISERROR(SEARCH("0",E33)))</formula>
    </cfRule>
    <cfRule type="containsText" dxfId="38" priority="20" operator="containsText" text="1">
      <formula>NOT(ISERROR(SEARCH("1",E33)))</formula>
    </cfRule>
  </conditionalFormatting>
  <conditionalFormatting sqref="E62:E86 E88">
    <cfRule type="containsText" dxfId="37" priority="12" operator="containsText" text="0">
      <formula>NOT(ISERROR(SEARCH("0",E62)))</formula>
    </cfRule>
    <cfRule type="containsText" dxfId="36" priority="13" operator="containsText" text="1">
      <formula>NOT(ISERROR(SEARCH("1",E62)))</formula>
    </cfRule>
  </conditionalFormatting>
  <conditionalFormatting sqref="E90:E114">
    <cfRule type="containsText" dxfId="35" priority="2" operator="containsText" text="0">
      <formula>NOT(ISERROR(SEARCH("0",E90)))</formula>
    </cfRule>
    <cfRule type="containsText" dxfId="34" priority="3" operator="containsText" text="1">
      <formula>NOT(ISERROR(SEARCH("1",E90)))</formula>
    </cfRule>
  </conditionalFormatting>
  <conditionalFormatting sqref="F4:F28">
    <cfRule type="colorScale" priority="23">
      <colorScale>
        <cfvo type="min"/>
        <cfvo type="max"/>
        <color rgb="FF63BE7B"/>
        <color rgb="FFFCFCFF"/>
      </colorScale>
    </cfRule>
  </conditionalFormatting>
  <conditionalFormatting sqref="F33:F57">
    <cfRule type="colorScale" priority="18">
      <colorScale>
        <cfvo type="min"/>
        <cfvo type="max"/>
        <color rgb="FF63BE7B"/>
        <color rgb="FFFCFCFF"/>
      </colorScale>
    </cfRule>
  </conditionalFormatting>
  <conditionalFormatting sqref="F62:F86">
    <cfRule type="colorScale" priority="11">
      <colorScale>
        <cfvo type="min"/>
        <cfvo type="max"/>
        <color rgb="FF63BE7B"/>
        <color rgb="FFFCFCFF"/>
      </colorScale>
    </cfRule>
  </conditionalFormatting>
  <conditionalFormatting sqref="F90:F114">
    <cfRule type="colorScale" priority="1">
      <colorScale>
        <cfvo type="min"/>
        <cfvo type="max"/>
        <color rgb="FF63BE7B"/>
        <color rgb="FFFCFCFF"/>
      </colorScale>
    </cfRule>
  </conditionalFormatting>
  <conditionalFormatting sqref="H4:H15">
    <cfRule type="colorScale" priority="29">
      <colorScale>
        <cfvo type="min"/>
        <cfvo type="max"/>
        <color rgb="FF63BE7B"/>
        <color rgb="FFFCFCFF"/>
      </colorScale>
    </cfRule>
  </conditionalFormatting>
  <conditionalFormatting sqref="H32:H38">
    <cfRule type="colorScale" priority="15">
      <colorScale>
        <cfvo type="min"/>
        <cfvo type="max"/>
        <color rgb="FF63BE7B"/>
        <color rgb="FFFCFCFF"/>
      </colorScale>
    </cfRule>
  </conditionalFormatting>
  <conditionalFormatting sqref="H61:H66">
    <cfRule type="colorScale" priority="10">
      <colorScale>
        <cfvo type="min"/>
        <cfvo type="max"/>
        <color rgb="FF63BE7B"/>
        <color rgb="FFFCFCFF"/>
      </colorScale>
    </cfRule>
  </conditionalFormatting>
  <conditionalFormatting sqref="H89:H98">
    <cfRule type="colorScale" priority="7">
      <colorScale>
        <cfvo type="min"/>
        <cfvo type="max"/>
        <color rgb="FF63BE7B"/>
        <color rgb="FFFCFCFF"/>
      </colorScale>
    </cfRule>
  </conditionalFormatting>
  <conditionalFormatting sqref="J4:J15">
    <cfRule type="colorScale" priority="28">
      <colorScale>
        <cfvo type="min"/>
        <cfvo type="max"/>
        <color rgb="FF63BE7B"/>
        <color rgb="FFFCFCFF"/>
      </colorScale>
    </cfRule>
  </conditionalFormatting>
  <conditionalFormatting sqref="J32:J38">
    <cfRule type="colorScale" priority="14">
      <colorScale>
        <cfvo type="min"/>
        <cfvo type="max"/>
        <color rgb="FFFCFCFF"/>
        <color rgb="FF63BE7B"/>
      </colorScale>
    </cfRule>
  </conditionalFormatting>
  <conditionalFormatting sqref="J61:J66">
    <cfRule type="colorScale" priority="8">
      <colorScale>
        <cfvo type="min"/>
        <cfvo type="max"/>
        <color rgb="FFFCFCFF"/>
        <color rgb="FF63BE7B"/>
      </colorScale>
    </cfRule>
  </conditionalFormatting>
  <conditionalFormatting sqref="J89:J98">
    <cfRule type="colorScale" priority="6">
      <colorScale>
        <cfvo type="min"/>
        <cfvo type="max"/>
        <color rgb="FFFCFCFF"/>
        <color rgb="FF63BE7B"/>
      </colorScale>
    </cfRule>
  </conditionalFormatting>
  <pageMargins left="0.7" right="0.7" top="0.75" bottom="0.75" header="0.3" footer="0.3"/>
  <headerFooter>
    <oddFooter>&amp;C_x000D_&amp;1#&amp;"Calibri"&amp;8&amp;K000000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701CB-CC98-4029-9860-B2501461656D}">
  <dimension ref="B1:J143"/>
  <sheetViews>
    <sheetView zoomScaleNormal="100" workbookViewId="0">
      <selection activeCell="H2" sqref="H2"/>
    </sheetView>
  </sheetViews>
  <sheetFormatPr defaultRowHeight="15" x14ac:dyDescent="0.25"/>
  <cols>
    <col min="2" max="2" width="47.42578125" bestFit="1" customWidth="1"/>
    <col min="3" max="3" width="9.5703125" style="19" bestFit="1" customWidth="1"/>
    <col min="5" max="5" width="9.5703125" style="19" bestFit="1" customWidth="1"/>
    <col min="9" max="9" width="47.42578125" bestFit="1" customWidth="1"/>
  </cols>
  <sheetData>
    <row r="1" spans="2:10" ht="15.75" thickBot="1" x14ac:dyDescent="0.3"/>
    <row r="2" spans="2:10" x14ac:dyDescent="0.25">
      <c r="B2" s="150" t="s">
        <v>49</v>
      </c>
      <c r="C2" s="151"/>
      <c r="D2" s="22" t="s">
        <v>39</v>
      </c>
      <c r="E2" s="23">
        <f>SUM(C4:C28)/25</f>
        <v>9300.24</v>
      </c>
      <c r="F2" s="24"/>
      <c r="H2" s="8" t="str" cm="1">
        <f t="array" ref="H2:J11">_xlfn.VSTACK({"Ranking","Universidad","Score"},_xlfn._xlws.SORT(_xlfn._xlws.FILTER(CHOOSE({1,2,3},F4:F28,B4:B28,C4:C28),F4:F28&lt;&gt;""),1,TRUE))</f>
        <v>Ranking</v>
      </c>
      <c r="I2" s="8" t="str">
        <v>Universidad</v>
      </c>
      <c r="J2" s="8" t="str">
        <v>Score</v>
      </c>
    </row>
    <row r="3" spans="2:10" ht="15.75" thickBot="1" x14ac:dyDescent="0.3">
      <c r="B3" s="14" t="s">
        <v>45</v>
      </c>
      <c r="C3" s="33" t="s">
        <v>46</v>
      </c>
      <c r="D3" s="25" t="s">
        <v>50</v>
      </c>
      <c r="E3" s="26" t="s">
        <v>29</v>
      </c>
      <c r="F3" s="27" t="s">
        <v>30</v>
      </c>
      <c r="H3">
        <v>1</v>
      </c>
      <c r="I3" t="str">
        <v>Instituto Politécnico Nacional (IPN)</v>
      </c>
      <c r="J3">
        <v>55098</v>
      </c>
    </row>
    <row r="4" spans="2:10" x14ac:dyDescent="0.25">
      <c r="B4" s="1" t="s">
        <v>1</v>
      </c>
      <c r="C4" s="34">
        <v>32442</v>
      </c>
      <c r="D4" t="str">
        <f>IF(ISNUMBER(C4),IF(C4&gt;9300,"SI","NO"),"NO")</f>
        <v>SI</v>
      </c>
      <c r="E4" s="19">
        <f>IF(D4="SI", 1, 0)</f>
        <v>1</v>
      </c>
      <c r="F4">
        <f>IF(E4=1, COUNTIFS($E$4:$E$28, 1, $C$4:$C$28, "&gt;"&amp;C4)+1, "")</f>
        <v>2</v>
      </c>
      <c r="H4">
        <v>2</v>
      </c>
      <c r="I4" t="str">
        <v>Universidad Nacional Autónoma de México (UNAM)</v>
      </c>
      <c r="J4">
        <v>32442</v>
      </c>
    </row>
    <row r="5" spans="2:10" x14ac:dyDescent="0.25">
      <c r="B5" s="1" t="s">
        <v>2</v>
      </c>
      <c r="C5" s="34">
        <v>18256</v>
      </c>
      <c r="D5" s="13" t="str">
        <f t="shared" ref="D5:D28" si="0">IF(ISNUMBER(C5),IF(C5&gt;9300,"SI","NO"),"NO")</f>
        <v>SI</v>
      </c>
      <c r="E5" s="19">
        <f t="shared" ref="E5:E28" si="1">IF(D5="SI", 1, 0)</f>
        <v>1</v>
      </c>
      <c r="F5" s="13">
        <f t="shared" ref="F5:F28" si="2">IF(E5=1, COUNTIFS($E$4:$E$28, 1, $C$4:$C$28, "&gt;"&amp;C5)+1, "")</f>
        <v>5</v>
      </c>
      <c r="H5">
        <v>3</v>
      </c>
      <c r="I5" t="str">
        <v>Universidad de Guadalajara (UDG)</v>
      </c>
      <c r="J5">
        <v>23776</v>
      </c>
    </row>
    <row r="6" spans="2:10" x14ac:dyDescent="0.25">
      <c r="B6" s="1" t="s">
        <v>3</v>
      </c>
      <c r="C6" s="34">
        <v>1744</v>
      </c>
      <c r="D6" s="13" t="str">
        <f t="shared" si="0"/>
        <v>NO</v>
      </c>
      <c r="E6" s="19">
        <f t="shared" si="1"/>
        <v>0</v>
      </c>
      <c r="F6" s="9" t="str">
        <f t="shared" si="2"/>
        <v/>
      </c>
      <c r="H6">
        <v>4</v>
      </c>
      <c r="I6" t="str">
        <v>Universidad Autónoma de Nuevo León (UANL)</v>
      </c>
      <c r="J6">
        <v>23019</v>
      </c>
    </row>
    <row r="7" spans="2:10" x14ac:dyDescent="0.25">
      <c r="B7" s="1" t="s">
        <v>4</v>
      </c>
      <c r="C7" s="34">
        <v>431</v>
      </c>
      <c r="D7" s="13" t="str">
        <f t="shared" si="0"/>
        <v>NO</v>
      </c>
      <c r="E7" s="19">
        <f t="shared" si="1"/>
        <v>0</v>
      </c>
      <c r="F7" s="9" t="str">
        <f t="shared" si="2"/>
        <v/>
      </c>
      <c r="H7">
        <v>5</v>
      </c>
      <c r="I7" t="str">
        <v>Tecnológico de Monterrey (ITESM)</v>
      </c>
      <c r="J7">
        <v>18256</v>
      </c>
    </row>
    <row r="8" spans="2:10" x14ac:dyDescent="0.25">
      <c r="B8" s="1" t="s">
        <v>5</v>
      </c>
      <c r="C8" s="34">
        <v>55098</v>
      </c>
      <c r="D8" s="13" t="str">
        <f t="shared" si="0"/>
        <v>SI</v>
      </c>
      <c r="E8" s="19">
        <f t="shared" si="1"/>
        <v>1</v>
      </c>
      <c r="F8" s="13">
        <f t="shared" si="2"/>
        <v>1</v>
      </c>
      <c r="H8">
        <v>6</v>
      </c>
      <c r="I8" t="str">
        <v>Benemérita Universidad Autónoma de Puebla</v>
      </c>
      <c r="J8">
        <v>13865</v>
      </c>
    </row>
    <row r="9" spans="2:10" x14ac:dyDescent="0.25">
      <c r="B9" s="1" t="s">
        <v>6</v>
      </c>
      <c r="C9" s="34">
        <v>4130</v>
      </c>
      <c r="D9" s="13" t="str">
        <f t="shared" si="0"/>
        <v>NO</v>
      </c>
      <c r="E9" s="19">
        <f t="shared" si="1"/>
        <v>0</v>
      </c>
      <c r="F9" s="9" t="str">
        <f t="shared" si="2"/>
        <v/>
      </c>
      <c r="H9">
        <v>7</v>
      </c>
      <c r="I9" t="str">
        <v>Universidad Autónoma Metropolitana (UAM)</v>
      </c>
      <c r="J9">
        <v>12363</v>
      </c>
    </row>
    <row r="10" spans="2:10" x14ac:dyDescent="0.25">
      <c r="B10" s="1" t="s">
        <v>7</v>
      </c>
      <c r="C10" s="34" t="s">
        <v>31</v>
      </c>
      <c r="D10" s="13" t="str">
        <f t="shared" si="0"/>
        <v>NO</v>
      </c>
      <c r="E10" s="19">
        <f t="shared" si="1"/>
        <v>0</v>
      </c>
      <c r="F10" s="9" t="str">
        <f t="shared" si="2"/>
        <v/>
      </c>
      <c r="H10">
        <v>8</v>
      </c>
      <c r="I10" t="str">
        <v>Universidad Autónoma de Baja California</v>
      </c>
      <c r="J10">
        <v>10495</v>
      </c>
    </row>
    <row r="11" spans="2:10" x14ac:dyDescent="0.25">
      <c r="B11" s="1" t="s">
        <v>8</v>
      </c>
      <c r="C11" s="34">
        <v>2875</v>
      </c>
      <c r="D11" s="13" t="str">
        <f t="shared" si="0"/>
        <v>NO</v>
      </c>
      <c r="E11" s="19">
        <f t="shared" si="1"/>
        <v>0</v>
      </c>
      <c r="F11" s="9" t="str">
        <f t="shared" si="2"/>
        <v/>
      </c>
      <c r="H11">
        <v>9</v>
      </c>
      <c r="I11" t="str">
        <v>Universidad Autónoma del Estado de México</v>
      </c>
      <c r="J11">
        <v>9975</v>
      </c>
    </row>
    <row r="12" spans="2:10" x14ac:dyDescent="0.25">
      <c r="B12" s="1" t="s">
        <v>9</v>
      </c>
      <c r="C12" s="34">
        <v>12363</v>
      </c>
      <c r="D12" s="13" t="str">
        <f t="shared" si="0"/>
        <v>SI</v>
      </c>
      <c r="E12" s="19">
        <f t="shared" si="1"/>
        <v>1</v>
      </c>
      <c r="F12" s="13">
        <f t="shared" si="2"/>
        <v>7</v>
      </c>
    </row>
    <row r="13" spans="2:10" x14ac:dyDescent="0.25">
      <c r="B13" s="1" t="s">
        <v>10</v>
      </c>
      <c r="C13" s="34">
        <v>23776</v>
      </c>
      <c r="D13" s="13" t="str">
        <f t="shared" si="0"/>
        <v>SI</v>
      </c>
      <c r="E13" s="19">
        <f t="shared" si="1"/>
        <v>1</v>
      </c>
      <c r="F13" s="13">
        <f t="shared" si="2"/>
        <v>3</v>
      </c>
    </row>
    <row r="14" spans="2:10" x14ac:dyDescent="0.25">
      <c r="B14" s="1" t="s">
        <v>11</v>
      </c>
      <c r="C14" s="34">
        <v>1541</v>
      </c>
      <c r="D14" s="13" t="str">
        <f t="shared" si="0"/>
        <v>NO</v>
      </c>
      <c r="E14" s="19">
        <f t="shared" si="1"/>
        <v>0</v>
      </c>
      <c r="F14" s="9" t="str">
        <f t="shared" si="2"/>
        <v/>
      </c>
    </row>
    <row r="15" spans="2:10" x14ac:dyDescent="0.25">
      <c r="B15" s="1" t="s">
        <v>12</v>
      </c>
      <c r="C15" s="34">
        <v>13865</v>
      </c>
      <c r="D15" s="13" t="str">
        <f t="shared" si="0"/>
        <v>SI</v>
      </c>
      <c r="E15" s="19">
        <f t="shared" si="1"/>
        <v>1</v>
      </c>
      <c r="F15" s="13">
        <f t="shared" si="2"/>
        <v>6</v>
      </c>
    </row>
    <row r="16" spans="2:10" x14ac:dyDescent="0.25">
      <c r="B16" s="1" t="s">
        <v>13</v>
      </c>
      <c r="C16" s="34">
        <v>11</v>
      </c>
      <c r="D16" s="13" t="str">
        <f t="shared" si="0"/>
        <v>NO</v>
      </c>
      <c r="E16" s="19">
        <f t="shared" si="1"/>
        <v>0</v>
      </c>
      <c r="F16" s="9" t="str">
        <f t="shared" si="2"/>
        <v/>
      </c>
    </row>
    <row r="17" spans="2:10" x14ac:dyDescent="0.25">
      <c r="B17" s="1" t="s">
        <v>14</v>
      </c>
      <c r="C17" s="34">
        <v>1380</v>
      </c>
      <c r="D17" s="13" t="str">
        <f t="shared" si="0"/>
        <v>NO</v>
      </c>
      <c r="E17" s="19">
        <f t="shared" si="1"/>
        <v>0</v>
      </c>
      <c r="F17" s="9" t="str">
        <f t="shared" si="2"/>
        <v/>
      </c>
    </row>
    <row r="18" spans="2:10" x14ac:dyDescent="0.25">
      <c r="B18" s="1" t="s">
        <v>15</v>
      </c>
      <c r="C18" s="34">
        <v>23019</v>
      </c>
      <c r="D18" s="13" t="str">
        <f t="shared" si="0"/>
        <v>SI</v>
      </c>
      <c r="E18" s="19">
        <f t="shared" si="1"/>
        <v>1</v>
      </c>
      <c r="F18" s="13">
        <f t="shared" si="2"/>
        <v>4</v>
      </c>
    </row>
    <row r="19" spans="2:10" x14ac:dyDescent="0.25">
      <c r="B19" s="1" t="s">
        <v>16</v>
      </c>
      <c r="C19" s="34">
        <v>4640</v>
      </c>
      <c r="D19" s="13" t="str">
        <f t="shared" si="0"/>
        <v>NO</v>
      </c>
      <c r="E19" s="19">
        <f t="shared" si="1"/>
        <v>0</v>
      </c>
      <c r="F19" s="9" t="str">
        <f t="shared" si="2"/>
        <v/>
      </c>
    </row>
    <row r="20" spans="2:10" x14ac:dyDescent="0.25">
      <c r="B20" s="1" t="s">
        <v>17</v>
      </c>
      <c r="C20" s="34">
        <v>9975</v>
      </c>
      <c r="D20" s="13" t="str">
        <f t="shared" si="0"/>
        <v>SI</v>
      </c>
      <c r="E20" s="19">
        <f t="shared" si="1"/>
        <v>1</v>
      </c>
      <c r="F20" s="13">
        <f t="shared" si="2"/>
        <v>9</v>
      </c>
    </row>
    <row r="21" spans="2:10" x14ac:dyDescent="0.25">
      <c r="B21" s="1" t="s">
        <v>18</v>
      </c>
      <c r="C21" s="34">
        <v>1357</v>
      </c>
      <c r="D21" s="13" t="str">
        <f t="shared" si="0"/>
        <v>NO</v>
      </c>
      <c r="E21" s="19">
        <f t="shared" si="1"/>
        <v>0</v>
      </c>
      <c r="F21" s="9" t="str">
        <f t="shared" si="2"/>
        <v/>
      </c>
    </row>
    <row r="22" spans="2:10" x14ac:dyDescent="0.25">
      <c r="B22" s="1" t="s">
        <v>19</v>
      </c>
      <c r="C22" s="34">
        <v>2164</v>
      </c>
      <c r="D22" s="13" t="str">
        <f t="shared" si="0"/>
        <v>NO</v>
      </c>
      <c r="E22" s="19">
        <f t="shared" si="1"/>
        <v>0</v>
      </c>
      <c r="F22" s="9" t="str">
        <f t="shared" si="2"/>
        <v/>
      </c>
    </row>
    <row r="23" spans="2:10" x14ac:dyDescent="0.25">
      <c r="B23" s="1" t="s">
        <v>20</v>
      </c>
      <c r="C23" s="34">
        <v>10495</v>
      </c>
      <c r="D23" s="13" t="str">
        <f t="shared" si="0"/>
        <v>SI</v>
      </c>
      <c r="E23" s="19">
        <f t="shared" si="1"/>
        <v>1</v>
      </c>
      <c r="F23" s="13">
        <f t="shared" si="2"/>
        <v>8</v>
      </c>
    </row>
    <row r="24" spans="2:10" x14ac:dyDescent="0.25">
      <c r="B24" s="1" t="s">
        <v>21</v>
      </c>
      <c r="C24" s="34">
        <v>3919</v>
      </c>
      <c r="D24" s="13" t="str">
        <f t="shared" si="0"/>
        <v>NO</v>
      </c>
      <c r="E24" s="19">
        <f t="shared" si="1"/>
        <v>0</v>
      </c>
      <c r="F24" s="9" t="str">
        <f t="shared" si="2"/>
        <v/>
      </c>
    </row>
    <row r="25" spans="2:10" x14ac:dyDescent="0.25">
      <c r="B25" s="1" t="s">
        <v>22</v>
      </c>
      <c r="C25" s="34">
        <v>3608</v>
      </c>
      <c r="D25" s="13" t="str">
        <f t="shared" si="0"/>
        <v>NO</v>
      </c>
      <c r="E25" s="19">
        <f t="shared" si="1"/>
        <v>0</v>
      </c>
      <c r="F25" s="9" t="str">
        <f t="shared" si="2"/>
        <v/>
      </c>
    </row>
    <row r="26" spans="2:10" x14ac:dyDescent="0.25">
      <c r="B26" s="17" t="s">
        <v>23</v>
      </c>
      <c r="C26" s="35">
        <v>2812</v>
      </c>
      <c r="D26" s="13" t="str">
        <f t="shared" si="0"/>
        <v>NO</v>
      </c>
      <c r="E26" s="19">
        <f t="shared" si="1"/>
        <v>0</v>
      </c>
      <c r="F26" s="9" t="str">
        <f t="shared" si="2"/>
        <v/>
      </c>
    </row>
    <row r="27" spans="2:10" x14ac:dyDescent="0.25">
      <c r="B27" s="17" t="s">
        <v>24</v>
      </c>
      <c r="C27" s="35">
        <v>1348</v>
      </c>
      <c r="D27" s="13" t="str">
        <f t="shared" si="0"/>
        <v>NO</v>
      </c>
      <c r="E27" s="19">
        <f t="shared" si="1"/>
        <v>0</v>
      </c>
      <c r="F27" s="9" t="str">
        <f t="shared" si="2"/>
        <v/>
      </c>
    </row>
    <row r="28" spans="2:10" ht="15.75" thickBot="1" x14ac:dyDescent="0.3">
      <c r="B28" s="18" t="s">
        <v>25</v>
      </c>
      <c r="C28" s="36">
        <v>1257</v>
      </c>
      <c r="D28" s="13" t="str">
        <f t="shared" si="0"/>
        <v>NO</v>
      </c>
      <c r="E28" s="19">
        <f t="shared" si="1"/>
        <v>0</v>
      </c>
      <c r="F28" s="9" t="str">
        <f t="shared" si="2"/>
        <v/>
      </c>
    </row>
    <row r="30" spans="2:10" ht="15.75" thickBot="1" x14ac:dyDescent="0.3"/>
    <row r="31" spans="2:10" x14ac:dyDescent="0.25">
      <c r="B31" s="150" t="s">
        <v>51</v>
      </c>
      <c r="C31" s="151"/>
      <c r="D31" s="30" t="s">
        <v>39</v>
      </c>
      <c r="E31" s="23">
        <f>SUM(C33:C57)/25</f>
        <v>1450.84</v>
      </c>
      <c r="F31" s="24"/>
      <c r="H31" s="8" t="str" cm="1">
        <f t="array" ref="H31:J37">_xlfn.VSTACK({"Ranking","Universidad","Score"}, _xlfn._xlws.SORT(_xlfn._xlws.FILTER(CHOOSE({1,2,3}, F33:F57,B33:B57,C33:C57), F33:F57&lt;&gt;""),1,TRUE))</f>
        <v>Ranking</v>
      </c>
      <c r="I31" s="8" t="str">
        <v>Universidad</v>
      </c>
      <c r="J31" s="8" t="str">
        <v>Score</v>
      </c>
    </row>
    <row r="32" spans="2:10" ht="15.75" thickBot="1" x14ac:dyDescent="0.3">
      <c r="B32" s="14" t="s">
        <v>45</v>
      </c>
      <c r="C32" s="33" t="s">
        <v>46</v>
      </c>
      <c r="D32" s="31" t="s">
        <v>52</v>
      </c>
      <c r="E32" s="26" t="s">
        <v>29</v>
      </c>
      <c r="F32" s="27" t="s">
        <v>30</v>
      </c>
      <c r="H32">
        <v>1</v>
      </c>
      <c r="I32" t="str">
        <v>Instituto Politécnico Nacional (IPN)</v>
      </c>
      <c r="J32">
        <v>7529</v>
      </c>
    </row>
    <row r="33" spans="2:10" x14ac:dyDescent="0.25">
      <c r="B33" s="1" t="s">
        <v>1</v>
      </c>
      <c r="C33" s="37">
        <v>5499</v>
      </c>
      <c r="D33" t="str">
        <f>IF(ISNUMBER(C33),IF(C33&gt;1450,"SI","NO"),"NO")</f>
        <v>SI</v>
      </c>
      <c r="E33" s="19">
        <f>IF(D33="SI", 1, 0)</f>
        <v>1</v>
      </c>
      <c r="F33">
        <f>IF(E33=1, COUNTIFS($E$33:$E$57, 1, $C$33:$C$57, "&gt;"&amp;C33)+1, "")</f>
        <v>2</v>
      </c>
      <c r="H33">
        <v>2</v>
      </c>
      <c r="I33" t="str">
        <v>Universidad Nacional Autónoma de México (UNAM)</v>
      </c>
      <c r="J33">
        <v>5499</v>
      </c>
    </row>
    <row r="34" spans="2:10" x14ac:dyDescent="0.25">
      <c r="B34" s="1" t="s">
        <v>2</v>
      </c>
      <c r="C34" s="37">
        <v>5288</v>
      </c>
      <c r="D34" s="21" t="str">
        <f t="shared" ref="D34:D57" si="3">IF(ISNUMBER(C34),IF(C34&gt;1450,"SI","NO"),"NO")</f>
        <v>SI</v>
      </c>
      <c r="E34" s="19">
        <f t="shared" ref="E34:E57" si="4">IF(D34="SI", 1, 0)</f>
        <v>1</v>
      </c>
      <c r="F34" s="21">
        <f t="shared" ref="F34:F57" si="5">IF(E34=1, COUNTIFS($E$33:$E$57, 1, $C$33:$C$57, "&gt;"&amp;C34)+1, "")</f>
        <v>3</v>
      </c>
      <c r="H34">
        <v>3</v>
      </c>
      <c r="I34" t="str">
        <v>Tecnológico de Monterrey (ITESM)</v>
      </c>
      <c r="J34">
        <v>5288</v>
      </c>
    </row>
    <row r="35" spans="2:10" x14ac:dyDescent="0.25">
      <c r="B35" s="1" t="s">
        <v>3</v>
      </c>
      <c r="C35" s="37">
        <v>430</v>
      </c>
      <c r="D35" s="21" t="str">
        <f t="shared" si="3"/>
        <v>NO</v>
      </c>
      <c r="E35" s="19">
        <f t="shared" si="4"/>
        <v>0</v>
      </c>
      <c r="F35" s="21" t="str">
        <f t="shared" si="5"/>
        <v/>
      </c>
      <c r="H35">
        <v>4</v>
      </c>
      <c r="I35" t="str">
        <v>Universidad de Guadalajara (UDG)</v>
      </c>
      <c r="J35">
        <v>4043</v>
      </c>
    </row>
    <row r="36" spans="2:10" x14ac:dyDescent="0.25">
      <c r="B36" s="1" t="s">
        <v>4</v>
      </c>
      <c r="C36" s="37">
        <v>114</v>
      </c>
      <c r="D36" s="21" t="str">
        <f t="shared" si="3"/>
        <v>NO</v>
      </c>
      <c r="E36" s="19">
        <f t="shared" si="4"/>
        <v>0</v>
      </c>
      <c r="F36" s="21" t="str">
        <f t="shared" si="5"/>
        <v/>
      </c>
      <c r="H36">
        <v>5</v>
      </c>
      <c r="I36" t="str">
        <v>Universidad Autónoma de Nuevo León (UANL)</v>
      </c>
      <c r="J36">
        <v>2967</v>
      </c>
    </row>
    <row r="37" spans="2:10" x14ac:dyDescent="0.25">
      <c r="B37" s="1" t="s">
        <v>5</v>
      </c>
      <c r="C37" s="37">
        <v>7529</v>
      </c>
      <c r="D37" s="21" t="str">
        <f t="shared" si="3"/>
        <v>SI</v>
      </c>
      <c r="E37" s="19">
        <f t="shared" si="4"/>
        <v>1</v>
      </c>
      <c r="F37" s="21">
        <f t="shared" si="5"/>
        <v>1</v>
      </c>
      <c r="H37">
        <v>6</v>
      </c>
      <c r="I37" t="str">
        <v>Universidad Autónoma del Estado de México</v>
      </c>
      <c r="J37">
        <v>1471</v>
      </c>
    </row>
    <row r="38" spans="2:10" x14ac:dyDescent="0.25">
      <c r="B38" s="1" t="s">
        <v>6</v>
      </c>
      <c r="C38" s="37">
        <v>452</v>
      </c>
      <c r="D38" s="21" t="str">
        <f t="shared" si="3"/>
        <v>NO</v>
      </c>
      <c r="E38" s="19">
        <f t="shared" si="4"/>
        <v>0</v>
      </c>
      <c r="F38" s="21" t="str">
        <f t="shared" si="5"/>
        <v/>
      </c>
    </row>
    <row r="39" spans="2:10" x14ac:dyDescent="0.25">
      <c r="B39" s="1" t="s">
        <v>7</v>
      </c>
      <c r="C39" s="34" t="s">
        <v>31</v>
      </c>
      <c r="D39" s="21" t="str">
        <f t="shared" si="3"/>
        <v>NO</v>
      </c>
      <c r="E39" s="19">
        <f t="shared" si="4"/>
        <v>0</v>
      </c>
      <c r="F39" s="21" t="str">
        <f t="shared" si="5"/>
        <v/>
      </c>
    </row>
    <row r="40" spans="2:10" x14ac:dyDescent="0.25">
      <c r="B40" s="1" t="s">
        <v>8</v>
      </c>
      <c r="C40" s="37">
        <v>407</v>
      </c>
      <c r="D40" s="21" t="str">
        <f t="shared" si="3"/>
        <v>NO</v>
      </c>
      <c r="E40" s="19">
        <f t="shared" si="4"/>
        <v>0</v>
      </c>
      <c r="F40" s="21" t="str">
        <f t="shared" si="5"/>
        <v/>
      </c>
    </row>
    <row r="41" spans="2:10" x14ac:dyDescent="0.25">
      <c r="B41" s="1" t="s">
        <v>9</v>
      </c>
      <c r="C41" s="37">
        <v>910</v>
      </c>
      <c r="D41" s="21" t="str">
        <f t="shared" si="3"/>
        <v>NO</v>
      </c>
      <c r="E41" s="19">
        <f t="shared" si="4"/>
        <v>0</v>
      </c>
      <c r="F41" s="21" t="str">
        <f t="shared" si="5"/>
        <v/>
      </c>
    </row>
    <row r="42" spans="2:10" x14ac:dyDescent="0.25">
      <c r="B42" s="1" t="s">
        <v>10</v>
      </c>
      <c r="C42" s="37">
        <v>4043</v>
      </c>
      <c r="D42" s="21" t="str">
        <f t="shared" si="3"/>
        <v>SI</v>
      </c>
      <c r="E42" s="19">
        <f t="shared" si="4"/>
        <v>1</v>
      </c>
      <c r="F42" s="21">
        <f t="shared" si="5"/>
        <v>4</v>
      </c>
    </row>
    <row r="43" spans="2:10" x14ac:dyDescent="0.25">
      <c r="B43" s="1" t="s">
        <v>11</v>
      </c>
      <c r="C43" s="37">
        <v>337</v>
      </c>
      <c r="D43" s="21" t="str">
        <f t="shared" si="3"/>
        <v>NO</v>
      </c>
      <c r="E43" s="19">
        <f t="shared" si="4"/>
        <v>0</v>
      </c>
      <c r="F43" s="21" t="str">
        <f t="shared" si="5"/>
        <v/>
      </c>
    </row>
    <row r="44" spans="2:10" x14ac:dyDescent="0.25">
      <c r="B44" s="1" t="s">
        <v>12</v>
      </c>
      <c r="C44" s="37">
        <v>576</v>
      </c>
      <c r="D44" s="21" t="str">
        <f t="shared" si="3"/>
        <v>NO</v>
      </c>
      <c r="E44" s="19">
        <f t="shared" si="4"/>
        <v>0</v>
      </c>
      <c r="F44" s="21" t="str">
        <f t="shared" si="5"/>
        <v/>
      </c>
    </row>
    <row r="45" spans="2:10" x14ac:dyDescent="0.25">
      <c r="B45" s="1" t="s">
        <v>13</v>
      </c>
      <c r="C45" s="37">
        <v>9</v>
      </c>
      <c r="D45" s="21" t="str">
        <f t="shared" si="3"/>
        <v>NO</v>
      </c>
      <c r="E45" s="19">
        <f t="shared" si="4"/>
        <v>0</v>
      </c>
      <c r="F45" s="21" t="str">
        <f t="shared" si="5"/>
        <v/>
      </c>
    </row>
    <row r="46" spans="2:10" x14ac:dyDescent="0.25">
      <c r="B46" s="1" t="s">
        <v>14</v>
      </c>
      <c r="C46" s="37">
        <v>328</v>
      </c>
      <c r="D46" s="21" t="str">
        <f t="shared" si="3"/>
        <v>NO</v>
      </c>
      <c r="E46" s="19">
        <f t="shared" si="4"/>
        <v>0</v>
      </c>
      <c r="F46" s="21" t="str">
        <f t="shared" si="5"/>
        <v/>
      </c>
    </row>
    <row r="47" spans="2:10" x14ac:dyDescent="0.25">
      <c r="B47" s="1" t="s">
        <v>15</v>
      </c>
      <c r="C47" s="37">
        <v>2967</v>
      </c>
      <c r="D47" s="21" t="str">
        <f t="shared" si="3"/>
        <v>SI</v>
      </c>
      <c r="E47" s="19">
        <f t="shared" si="4"/>
        <v>1</v>
      </c>
      <c r="F47" s="21">
        <f t="shared" si="5"/>
        <v>5</v>
      </c>
    </row>
    <row r="48" spans="2:10" x14ac:dyDescent="0.25">
      <c r="B48" s="1" t="s">
        <v>16</v>
      </c>
      <c r="C48" s="37">
        <v>788</v>
      </c>
      <c r="D48" s="21" t="str">
        <f t="shared" si="3"/>
        <v>NO</v>
      </c>
      <c r="E48" s="19">
        <f t="shared" si="4"/>
        <v>0</v>
      </c>
      <c r="F48" s="21" t="str">
        <f t="shared" si="5"/>
        <v/>
      </c>
    </row>
    <row r="49" spans="2:10" x14ac:dyDescent="0.25">
      <c r="B49" s="1" t="s">
        <v>17</v>
      </c>
      <c r="C49" s="37">
        <v>1471</v>
      </c>
      <c r="D49" s="21" t="str">
        <f t="shared" si="3"/>
        <v>SI</v>
      </c>
      <c r="E49" s="19">
        <f t="shared" si="4"/>
        <v>1</v>
      </c>
      <c r="F49" s="21">
        <f t="shared" si="5"/>
        <v>6</v>
      </c>
    </row>
    <row r="50" spans="2:10" x14ac:dyDescent="0.25">
      <c r="B50" s="1" t="s">
        <v>18</v>
      </c>
      <c r="C50" s="37">
        <v>197</v>
      </c>
      <c r="D50" s="21" t="str">
        <f t="shared" si="3"/>
        <v>NO</v>
      </c>
      <c r="E50" s="19">
        <f t="shared" si="4"/>
        <v>0</v>
      </c>
      <c r="F50" s="21" t="str">
        <f t="shared" si="5"/>
        <v/>
      </c>
    </row>
    <row r="51" spans="2:10" x14ac:dyDescent="0.25">
      <c r="B51" s="1" t="s">
        <v>19</v>
      </c>
      <c r="C51" s="37">
        <v>303</v>
      </c>
      <c r="D51" s="21" t="str">
        <f t="shared" si="3"/>
        <v>NO</v>
      </c>
      <c r="E51" s="19">
        <f t="shared" si="4"/>
        <v>0</v>
      </c>
      <c r="F51" s="21" t="str">
        <f t="shared" si="5"/>
        <v/>
      </c>
    </row>
    <row r="52" spans="2:10" x14ac:dyDescent="0.25">
      <c r="B52" s="1" t="s">
        <v>20</v>
      </c>
      <c r="C52" s="37">
        <v>1183</v>
      </c>
      <c r="D52" s="21" t="str">
        <f t="shared" si="3"/>
        <v>NO</v>
      </c>
      <c r="E52" s="19">
        <f t="shared" si="4"/>
        <v>0</v>
      </c>
      <c r="F52" s="21" t="str">
        <f t="shared" si="5"/>
        <v/>
      </c>
    </row>
    <row r="53" spans="2:10" x14ac:dyDescent="0.25">
      <c r="B53" s="1" t="s">
        <v>21</v>
      </c>
      <c r="C53" s="37">
        <v>735</v>
      </c>
      <c r="D53" s="21" t="str">
        <f t="shared" si="3"/>
        <v>NO</v>
      </c>
      <c r="E53" s="19">
        <f t="shared" si="4"/>
        <v>0</v>
      </c>
      <c r="F53" s="21" t="str">
        <f t="shared" si="5"/>
        <v/>
      </c>
    </row>
    <row r="54" spans="2:10" x14ac:dyDescent="0.25">
      <c r="B54" s="1" t="s">
        <v>22</v>
      </c>
      <c r="C54" s="37">
        <v>746</v>
      </c>
      <c r="D54" s="21" t="str">
        <f t="shared" si="3"/>
        <v>NO</v>
      </c>
      <c r="E54" s="19">
        <f t="shared" si="4"/>
        <v>0</v>
      </c>
      <c r="F54" s="21" t="str">
        <f t="shared" si="5"/>
        <v/>
      </c>
    </row>
    <row r="55" spans="2:10" x14ac:dyDescent="0.25">
      <c r="B55" s="17" t="s">
        <v>23</v>
      </c>
      <c r="C55" s="38">
        <v>617</v>
      </c>
      <c r="D55" s="21" t="str">
        <f t="shared" si="3"/>
        <v>NO</v>
      </c>
      <c r="E55" s="19">
        <f t="shared" si="4"/>
        <v>0</v>
      </c>
      <c r="F55" s="21" t="str">
        <f t="shared" si="5"/>
        <v/>
      </c>
    </row>
    <row r="56" spans="2:10" x14ac:dyDescent="0.25">
      <c r="B56" s="17" t="s">
        <v>24</v>
      </c>
      <c r="C56" s="38">
        <v>860</v>
      </c>
      <c r="D56" s="21" t="str">
        <f t="shared" si="3"/>
        <v>NO</v>
      </c>
      <c r="E56" s="19">
        <f t="shared" si="4"/>
        <v>0</v>
      </c>
      <c r="F56" s="21" t="str">
        <f t="shared" si="5"/>
        <v/>
      </c>
    </row>
    <row r="57" spans="2:10" ht="15.75" thickBot="1" x14ac:dyDescent="0.3">
      <c r="B57" s="18" t="s">
        <v>25</v>
      </c>
      <c r="C57" s="39">
        <v>482</v>
      </c>
      <c r="D57" s="21" t="str">
        <f t="shared" si="3"/>
        <v>NO</v>
      </c>
      <c r="E57" s="19">
        <f t="shared" si="4"/>
        <v>0</v>
      </c>
      <c r="F57" s="21" t="str">
        <f t="shared" si="5"/>
        <v/>
      </c>
    </row>
    <row r="59" spans="2:10" ht="15.75" thickBot="1" x14ac:dyDescent="0.3"/>
    <row r="60" spans="2:10" x14ac:dyDescent="0.25">
      <c r="B60" s="150" t="s">
        <v>53</v>
      </c>
      <c r="C60" s="151"/>
      <c r="D60" s="22" t="s">
        <v>39</v>
      </c>
      <c r="E60" s="28">
        <f>SUM(C62:C86)/25</f>
        <v>203.28</v>
      </c>
      <c r="F60" s="24"/>
      <c r="H60" s="8" t="str" cm="1">
        <f t="array" ref="H60:J69">_xlfn.VSTACK({"Ranking","Universidad","Score"},_xlfn._xlws.SORT(_xlfn._xlws.FILTER(CHOOSE({1,2,3},F62:F86,B62:B86,C62:C86),F62:F86&lt;&gt;""),1,TRUE))</f>
        <v>Ranking</v>
      </c>
      <c r="I60" s="8" t="str">
        <v>Universidad</v>
      </c>
      <c r="J60" s="8" t="str">
        <v>Score</v>
      </c>
    </row>
    <row r="61" spans="2:10" ht="15.75" thickBot="1" x14ac:dyDescent="0.3">
      <c r="B61" s="14" t="s">
        <v>45</v>
      </c>
      <c r="C61" s="33" t="s">
        <v>46</v>
      </c>
      <c r="D61" s="25" t="s">
        <v>57</v>
      </c>
      <c r="E61" s="26" t="s">
        <v>29</v>
      </c>
      <c r="F61" s="27" t="s">
        <v>30</v>
      </c>
      <c r="H61">
        <v>1</v>
      </c>
      <c r="I61" t="str">
        <v>Universidad Nacional Autónoma de México (UNAM)</v>
      </c>
      <c r="J61">
        <v>1654</v>
      </c>
    </row>
    <row r="62" spans="2:10" x14ac:dyDescent="0.25">
      <c r="B62" s="1" t="s">
        <v>1</v>
      </c>
      <c r="C62" s="37">
        <v>1654</v>
      </c>
      <c r="D62" t="str">
        <f>IF(ISNUMBER(C62), IF(C62&gt;200, "SI", "NO"), "NO")</f>
        <v>SI</v>
      </c>
      <c r="E62" s="19">
        <f>IF(D62="SI", 1, 0)</f>
        <v>1</v>
      </c>
      <c r="F62">
        <f>IF(E62=1, COUNTIFS($E$62:$E$86, 1, $C$62:$C$86, "&gt;"&amp;C62)+1,"")</f>
        <v>1</v>
      </c>
      <c r="H62">
        <v>2</v>
      </c>
      <c r="I62" t="str">
        <v>Instituto Politécnico Nacional (IPN)</v>
      </c>
      <c r="J62">
        <v>714</v>
      </c>
    </row>
    <row r="63" spans="2:10" x14ac:dyDescent="0.25">
      <c r="B63" s="1" t="s">
        <v>2</v>
      </c>
      <c r="C63" s="37">
        <v>281</v>
      </c>
      <c r="D63" s="21" t="str">
        <f t="shared" ref="D63:D86" si="6">IF(ISNUMBER(C63), IF(C63&gt;200, "SI", "NO"), "NO")</f>
        <v>SI</v>
      </c>
      <c r="E63" s="19">
        <f t="shared" ref="E63:E86" si="7">IF(D63="SI", 1, 0)</f>
        <v>1</v>
      </c>
      <c r="F63" s="21">
        <f t="shared" ref="F63:F86" si="8">IF(E63=1, COUNTIFS($E$62:$E$86, 1, $C$62:$C$86, "&gt;"&amp;C63)+1,"")</f>
        <v>6</v>
      </c>
      <c r="H63">
        <v>3</v>
      </c>
      <c r="I63" t="str">
        <v>Universidad de Guadalajara (UDG)</v>
      </c>
      <c r="J63">
        <v>394</v>
      </c>
    </row>
    <row r="64" spans="2:10" x14ac:dyDescent="0.25">
      <c r="B64" s="1" t="s">
        <v>3</v>
      </c>
      <c r="C64" s="37">
        <v>6</v>
      </c>
      <c r="D64" s="21" t="str">
        <f t="shared" si="6"/>
        <v>NO</v>
      </c>
      <c r="E64" s="19">
        <f t="shared" si="7"/>
        <v>0</v>
      </c>
      <c r="F64" s="9" t="str">
        <f t="shared" si="8"/>
        <v/>
      </c>
      <c r="H64">
        <v>4</v>
      </c>
      <c r="I64" t="str">
        <v>Universidad Autónoma Metropolitana (UAM)</v>
      </c>
      <c r="J64">
        <v>364</v>
      </c>
    </row>
    <row r="65" spans="2:10" x14ac:dyDescent="0.25">
      <c r="B65" s="1" t="s">
        <v>4</v>
      </c>
      <c r="C65" s="37">
        <v>35</v>
      </c>
      <c r="D65" s="21" t="str">
        <f t="shared" si="6"/>
        <v>NO</v>
      </c>
      <c r="E65" s="19">
        <f t="shared" si="7"/>
        <v>0</v>
      </c>
      <c r="F65" s="9" t="str">
        <f t="shared" si="8"/>
        <v/>
      </c>
      <c r="H65">
        <v>5</v>
      </c>
      <c r="I65" t="str">
        <v>Benemérita Universidad Autónoma de Puebla</v>
      </c>
      <c r="J65">
        <v>297</v>
      </c>
    </row>
    <row r="66" spans="2:10" x14ac:dyDescent="0.25">
      <c r="B66" s="1" t="s">
        <v>5</v>
      </c>
      <c r="C66" s="37">
        <v>714</v>
      </c>
      <c r="D66" s="21" t="str">
        <f t="shared" si="6"/>
        <v>SI</v>
      </c>
      <c r="E66" s="19">
        <f t="shared" si="7"/>
        <v>1</v>
      </c>
      <c r="F66" s="21">
        <f t="shared" si="8"/>
        <v>2</v>
      </c>
      <c r="H66">
        <v>6</v>
      </c>
      <c r="I66" t="str">
        <v>Tecnológico de Monterrey (ITESM)</v>
      </c>
      <c r="J66">
        <v>281</v>
      </c>
    </row>
    <row r="67" spans="2:10" x14ac:dyDescent="0.25">
      <c r="B67" s="1" t="s">
        <v>6</v>
      </c>
      <c r="C67" s="40" t="s">
        <v>31</v>
      </c>
      <c r="D67" s="21" t="str">
        <f t="shared" si="6"/>
        <v>NO</v>
      </c>
      <c r="E67" s="19">
        <f t="shared" si="7"/>
        <v>0</v>
      </c>
      <c r="F67" s="9" t="str">
        <f t="shared" si="8"/>
        <v/>
      </c>
      <c r="H67">
        <v>7</v>
      </c>
      <c r="I67" t="str">
        <v>Universidad de Guanajuato</v>
      </c>
      <c r="J67">
        <v>266</v>
      </c>
    </row>
    <row r="68" spans="2:10" x14ac:dyDescent="0.25">
      <c r="B68" s="1" t="s">
        <v>7</v>
      </c>
      <c r="C68" s="41">
        <v>1</v>
      </c>
      <c r="D68" s="21" t="str">
        <f t="shared" si="6"/>
        <v>NO</v>
      </c>
      <c r="E68" s="19">
        <f t="shared" si="7"/>
        <v>0</v>
      </c>
      <c r="F68" s="9" t="str">
        <f t="shared" si="8"/>
        <v/>
      </c>
      <c r="H68">
        <v>8</v>
      </c>
      <c r="I68" t="str">
        <v>Universidad Autónoma de Nuevo León (UANL)</v>
      </c>
      <c r="J68">
        <v>261</v>
      </c>
    </row>
    <row r="69" spans="2:10" x14ac:dyDescent="0.25">
      <c r="B69" s="1" t="s">
        <v>8</v>
      </c>
      <c r="C69" s="37">
        <v>20</v>
      </c>
      <c r="D69" s="21" t="str">
        <f t="shared" si="6"/>
        <v>NO</v>
      </c>
      <c r="E69" s="19">
        <f t="shared" si="7"/>
        <v>0</v>
      </c>
      <c r="F69" s="9" t="str">
        <f t="shared" si="8"/>
        <v/>
      </c>
      <c r="H69">
        <v>9</v>
      </c>
      <c r="I69" t="str">
        <v>Universidad Autónoma de Baja California</v>
      </c>
      <c r="J69">
        <v>258</v>
      </c>
    </row>
    <row r="70" spans="2:10" x14ac:dyDescent="0.25">
      <c r="B70" s="1" t="s">
        <v>9</v>
      </c>
      <c r="C70" s="37">
        <v>364</v>
      </c>
      <c r="D70" s="21" t="str">
        <f t="shared" si="6"/>
        <v>SI</v>
      </c>
      <c r="E70" s="19">
        <f t="shared" si="7"/>
        <v>1</v>
      </c>
      <c r="F70" s="21">
        <f t="shared" si="8"/>
        <v>4</v>
      </c>
    </row>
    <row r="71" spans="2:10" x14ac:dyDescent="0.25">
      <c r="B71" s="1" t="s">
        <v>10</v>
      </c>
      <c r="C71" s="37">
        <v>394</v>
      </c>
      <c r="D71" s="21" t="str">
        <f t="shared" si="6"/>
        <v>SI</v>
      </c>
      <c r="E71" s="19">
        <f t="shared" si="7"/>
        <v>1</v>
      </c>
      <c r="F71" s="21">
        <f t="shared" si="8"/>
        <v>3</v>
      </c>
    </row>
    <row r="72" spans="2:10" x14ac:dyDescent="0.25">
      <c r="B72" s="1" t="s">
        <v>11</v>
      </c>
      <c r="C72" s="37">
        <v>33</v>
      </c>
      <c r="D72" s="21" t="str">
        <f t="shared" si="6"/>
        <v>NO</v>
      </c>
      <c r="E72" s="19">
        <f t="shared" si="7"/>
        <v>0</v>
      </c>
      <c r="F72" s="9" t="str">
        <f t="shared" si="8"/>
        <v/>
      </c>
    </row>
    <row r="73" spans="2:10" x14ac:dyDescent="0.25">
      <c r="B73" s="1" t="s">
        <v>12</v>
      </c>
      <c r="C73" s="37">
        <v>297</v>
      </c>
      <c r="D73" s="21" t="str">
        <f t="shared" si="6"/>
        <v>SI</v>
      </c>
      <c r="E73" s="19">
        <f t="shared" si="7"/>
        <v>1</v>
      </c>
      <c r="F73" s="21">
        <f t="shared" si="8"/>
        <v>5</v>
      </c>
    </row>
    <row r="74" spans="2:10" x14ac:dyDescent="0.25">
      <c r="B74" s="1" t="s">
        <v>13</v>
      </c>
      <c r="C74" s="37">
        <v>12</v>
      </c>
      <c r="D74" s="21" t="str">
        <f t="shared" si="6"/>
        <v>NO</v>
      </c>
      <c r="E74" s="19">
        <f t="shared" si="7"/>
        <v>0</v>
      </c>
      <c r="F74" s="9" t="str">
        <f t="shared" si="8"/>
        <v/>
      </c>
    </row>
    <row r="75" spans="2:10" x14ac:dyDescent="0.25">
      <c r="B75" s="1" t="s">
        <v>14</v>
      </c>
      <c r="C75" s="37">
        <v>11</v>
      </c>
      <c r="D75" s="21" t="str">
        <f t="shared" si="6"/>
        <v>NO</v>
      </c>
      <c r="E75" s="19">
        <f t="shared" si="7"/>
        <v>0</v>
      </c>
      <c r="F75" s="9" t="str">
        <f t="shared" si="8"/>
        <v/>
      </c>
    </row>
    <row r="76" spans="2:10" x14ac:dyDescent="0.25">
      <c r="B76" s="1" t="s">
        <v>15</v>
      </c>
      <c r="C76" s="37">
        <v>261</v>
      </c>
      <c r="D76" s="21" t="str">
        <f t="shared" si="6"/>
        <v>SI</v>
      </c>
      <c r="E76" s="19">
        <f t="shared" si="7"/>
        <v>1</v>
      </c>
      <c r="F76" s="21">
        <f t="shared" si="8"/>
        <v>8</v>
      </c>
    </row>
    <row r="77" spans="2:10" x14ac:dyDescent="0.25">
      <c r="B77" s="1" t="s">
        <v>16</v>
      </c>
      <c r="C77" s="37">
        <v>129</v>
      </c>
      <c r="D77" s="21" t="str">
        <f t="shared" si="6"/>
        <v>NO</v>
      </c>
      <c r="E77" s="19">
        <f t="shared" si="7"/>
        <v>0</v>
      </c>
      <c r="F77" s="9" t="str">
        <f t="shared" si="8"/>
        <v/>
      </c>
    </row>
    <row r="78" spans="2:10" x14ac:dyDescent="0.25">
      <c r="B78" s="1" t="s">
        <v>17</v>
      </c>
      <c r="C78" s="37">
        <v>152</v>
      </c>
      <c r="D78" s="21" t="str">
        <f t="shared" si="6"/>
        <v>NO</v>
      </c>
      <c r="E78" s="19">
        <f t="shared" si="7"/>
        <v>0</v>
      </c>
      <c r="F78" s="9" t="str">
        <f t="shared" si="8"/>
        <v/>
      </c>
    </row>
    <row r="79" spans="2:10" x14ac:dyDescent="0.25">
      <c r="B79" s="1" t="s">
        <v>18</v>
      </c>
      <c r="C79" s="37">
        <v>21</v>
      </c>
      <c r="D79" s="21" t="str">
        <f t="shared" si="6"/>
        <v>NO</v>
      </c>
      <c r="E79" s="19">
        <f t="shared" si="7"/>
        <v>0</v>
      </c>
      <c r="F79" s="9" t="str">
        <f t="shared" si="8"/>
        <v/>
      </c>
    </row>
    <row r="80" spans="2:10" x14ac:dyDescent="0.25">
      <c r="B80" s="1" t="s">
        <v>19</v>
      </c>
      <c r="C80" s="37">
        <v>23</v>
      </c>
      <c r="D80" s="21" t="str">
        <f t="shared" si="6"/>
        <v>NO</v>
      </c>
      <c r="E80" s="19">
        <f t="shared" si="7"/>
        <v>0</v>
      </c>
      <c r="F80" s="9" t="str">
        <f t="shared" si="8"/>
        <v/>
      </c>
    </row>
    <row r="81" spans="2:10" x14ac:dyDescent="0.25">
      <c r="B81" s="1" t="s">
        <v>20</v>
      </c>
      <c r="C81" s="37">
        <v>258</v>
      </c>
      <c r="D81" s="21" t="str">
        <f t="shared" si="6"/>
        <v>SI</v>
      </c>
      <c r="E81" s="19">
        <f t="shared" si="7"/>
        <v>1</v>
      </c>
      <c r="F81" s="21">
        <f t="shared" si="8"/>
        <v>9</v>
      </c>
    </row>
    <row r="82" spans="2:10" x14ac:dyDescent="0.25">
      <c r="B82" s="1" t="s">
        <v>21</v>
      </c>
      <c r="C82" s="37">
        <v>266</v>
      </c>
      <c r="D82" s="21" t="str">
        <f t="shared" si="6"/>
        <v>SI</v>
      </c>
      <c r="E82" s="19">
        <f t="shared" si="7"/>
        <v>1</v>
      </c>
      <c r="F82" s="21">
        <f t="shared" si="8"/>
        <v>7</v>
      </c>
    </row>
    <row r="83" spans="2:10" x14ac:dyDescent="0.25">
      <c r="B83" s="1" t="s">
        <v>22</v>
      </c>
      <c r="C83" s="37">
        <v>4</v>
      </c>
      <c r="D83" s="21" t="str">
        <f t="shared" si="6"/>
        <v>NO</v>
      </c>
      <c r="E83" s="19">
        <f t="shared" si="7"/>
        <v>0</v>
      </c>
      <c r="F83" s="9" t="str">
        <f t="shared" si="8"/>
        <v/>
      </c>
    </row>
    <row r="84" spans="2:10" x14ac:dyDescent="0.25">
      <c r="B84" s="17" t="s">
        <v>23</v>
      </c>
      <c r="C84" s="42">
        <v>120</v>
      </c>
      <c r="D84" s="21" t="str">
        <f t="shared" si="6"/>
        <v>NO</v>
      </c>
      <c r="E84" s="19">
        <f t="shared" si="7"/>
        <v>0</v>
      </c>
      <c r="F84" s="9" t="str">
        <f t="shared" si="8"/>
        <v/>
      </c>
    </row>
    <row r="85" spans="2:10" x14ac:dyDescent="0.25">
      <c r="B85" s="17" t="s">
        <v>24</v>
      </c>
      <c r="C85" s="42">
        <v>8</v>
      </c>
      <c r="D85" s="21" t="str">
        <f t="shared" si="6"/>
        <v>NO</v>
      </c>
      <c r="E85" s="19">
        <f t="shared" si="7"/>
        <v>0</v>
      </c>
      <c r="F85" s="9" t="str">
        <f t="shared" si="8"/>
        <v/>
      </c>
    </row>
    <row r="86" spans="2:10" ht="15.75" thickBot="1" x14ac:dyDescent="0.3">
      <c r="B86" s="18" t="s">
        <v>25</v>
      </c>
      <c r="C86" s="43">
        <v>18</v>
      </c>
      <c r="D86" s="21" t="str">
        <f t="shared" si="6"/>
        <v>NO</v>
      </c>
      <c r="E86" s="19">
        <f t="shared" si="7"/>
        <v>0</v>
      </c>
      <c r="F86" s="9" t="str">
        <f t="shared" si="8"/>
        <v/>
      </c>
    </row>
    <row r="88" spans="2:10" ht="15.75" thickBot="1" x14ac:dyDescent="0.3"/>
    <row r="89" spans="2:10" x14ac:dyDescent="0.25">
      <c r="B89" s="150" t="s">
        <v>54</v>
      </c>
      <c r="C89" s="151"/>
      <c r="D89" s="22" t="s">
        <v>39</v>
      </c>
      <c r="E89" s="23">
        <f>SUM(C91:C115)/25</f>
        <v>36.520000000000003</v>
      </c>
      <c r="F89" s="24"/>
      <c r="H89" s="8" t="str" cm="1">
        <f t="array" ref="H89:J97">_xlfn.VSTACK({"Ranking","Universidad","Score"}, _xlfn._xlws.SORT(_xlfn._xlws.FILTER(CHOOSE({1,2,3},F91:F115,B91:B115,C91:C115), F91:F115&lt;&gt;""), 1, TRUE))</f>
        <v>Ranking</v>
      </c>
      <c r="I89" s="8" t="str">
        <v>Universidad</v>
      </c>
      <c r="J89" s="8" t="str">
        <v>Score</v>
      </c>
    </row>
    <row r="90" spans="2:10" ht="15.75" thickBot="1" x14ac:dyDescent="0.3">
      <c r="B90" s="14" t="s">
        <v>45</v>
      </c>
      <c r="C90" s="33" t="s">
        <v>46</v>
      </c>
      <c r="D90" s="25" t="s">
        <v>55</v>
      </c>
      <c r="E90" s="26" t="s">
        <v>56</v>
      </c>
      <c r="F90" s="29" t="s">
        <v>30</v>
      </c>
      <c r="H90">
        <v>1</v>
      </c>
      <c r="I90" t="str">
        <v>Universidad Nacional Autónoma de México (UNAM)</v>
      </c>
      <c r="J90">
        <v>249</v>
      </c>
    </row>
    <row r="91" spans="2:10" x14ac:dyDescent="0.25">
      <c r="B91" s="1" t="s">
        <v>1</v>
      </c>
      <c r="C91" s="37">
        <f>36+36+73+45+59</f>
        <v>249</v>
      </c>
      <c r="D91" t="str">
        <f>IF(ISNUMBER(C91), IF(C91&gt;36, "SI", "NO"), "NO")</f>
        <v>SI</v>
      </c>
      <c r="E91" s="19">
        <f>IF(D91="SI", 1, 0)</f>
        <v>1</v>
      </c>
      <c r="F91">
        <f>IF(E91=1,COUNTIFS($E$91:$E$115,1,$C$91:$C$115,"&gt;"&amp;C91)+1,"")</f>
        <v>1</v>
      </c>
      <c r="H91">
        <v>2</v>
      </c>
      <c r="I91" t="str">
        <v>Instituto Politécnico Nacional (IPN)</v>
      </c>
      <c r="J91">
        <v>189</v>
      </c>
    </row>
    <row r="92" spans="2:10" x14ac:dyDescent="0.25">
      <c r="B92" s="1" t="s">
        <v>2</v>
      </c>
      <c r="C92" s="37">
        <f>16+7+16+3+7</f>
        <v>49</v>
      </c>
      <c r="D92" s="21" t="str">
        <f t="shared" ref="D92:D115" si="9">IF(ISNUMBER(C92), IF(C92&gt;36, "SI", "NO"), "NO")</f>
        <v>SI</v>
      </c>
      <c r="E92" s="19">
        <f t="shared" ref="E92:E115" si="10">IF(D92="SI", 1, 0)</f>
        <v>1</v>
      </c>
      <c r="F92" s="21">
        <f t="shared" ref="F92:F115" si="11">IF(E92=1,COUNTIFS($E$91:$E$115,1,$C$91:$C$115,"&gt;"&amp;C92)+1,"")</f>
        <v>6</v>
      </c>
      <c r="H92">
        <v>3</v>
      </c>
      <c r="I92" t="str">
        <v>Universidad Autónoma de Nuevo León (UANL)</v>
      </c>
      <c r="J92">
        <v>118</v>
      </c>
    </row>
    <row r="93" spans="2:10" x14ac:dyDescent="0.25">
      <c r="B93" s="1" t="s">
        <v>3</v>
      </c>
      <c r="C93" s="40" t="s">
        <v>31</v>
      </c>
      <c r="D93" s="21" t="str">
        <f t="shared" si="9"/>
        <v>NO</v>
      </c>
      <c r="E93" s="19">
        <f t="shared" si="10"/>
        <v>0</v>
      </c>
      <c r="F93" s="9" t="str">
        <f t="shared" si="11"/>
        <v/>
      </c>
      <c r="H93">
        <v>4</v>
      </c>
      <c r="I93" t="str">
        <v>Benemérita Universidad Autónoma de Puebla</v>
      </c>
      <c r="J93">
        <v>72</v>
      </c>
    </row>
    <row r="94" spans="2:10" x14ac:dyDescent="0.25">
      <c r="B94" s="1" t="s">
        <v>4</v>
      </c>
      <c r="C94" s="40" t="s">
        <v>31</v>
      </c>
      <c r="D94" s="21" t="str">
        <f t="shared" si="9"/>
        <v>NO</v>
      </c>
      <c r="E94" s="19">
        <f t="shared" si="10"/>
        <v>0</v>
      </c>
      <c r="F94" s="9" t="str">
        <f t="shared" si="11"/>
        <v/>
      </c>
      <c r="H94">
        <v>5</v>
      </c>
      <c r="I94" t="str">
        <v>Universidad de Guadalajara (UDG)</v>
      </c>
      <c r="J94">
        <v>52</v>
      </c>
    </row>
    <row r="95" spans="2:10" x14ac:dyDescent="0.25">
      <c r="B95" s="1" t="s">
        <v>5</v>
      </c>
      <c r="C95" s="37">
        <f>24+30+50+46+39</f>
        <v>189</v>
      </c>
      <c r="D95" s="21" t="str">
        <f t="shared" si="9"/>
        <v>SI</v>
      </c>
      <c r="E95" s="19">
        <f t="shared" si="10"/>
        <v>1</v>
      </c>
      <c r="F95" s="21">
        <f t="shared" si="11"/>
        <v>2</v>
      </c>
      <c r="H95">
        <v>6</v>
      </c>
      <c r="I95" t="str">
        <v>Tecnológico de Monterrey (ITESM)</v>
      </c>
      <c r="J95">
        <v>49</v>
      </c>
    </row>
    <row r="96" spans="2:10" x14ac:dyDescent="0.25">
      <c r="B96" s="1" t="s">
        <v>6</v>
      </c>
      <c r="C96" s="37">
        <v>1</v>
      </c>
      <c r="D96" s="21" t="str">
        <f t="shared" si="9"/>
        <v>NO</v>
      </c>
      <c r="E96" s="19">
        <f t="shared" si="10"/>
        <v>0</v>
      </c>
      <c r="F96" s="9" t="str">
        <f t="shared" si="11"/>
        <v/>
      </c>
      <c r="H96">
        <v>7</v>
      </c>
      <c r="I96" t="str">
        <v>Universidad de Guanajuato</v>
      </c>
      <c r="J96">
        <v>47</v>
      </c>
    </row>
    <row r="97" spans="2:10" x14ac:dyDescent="0.25">
      <c r="B97" s="1" t="s">
        <v>7</v>
      </c>
      <c r="C97" s="40" t="s">
        <v>31</v>
      </c>
      <c r="D97" s="21" t="str">
        <f t="shared" si="9"/>
        <v>NO</v>
      </c>
      <c r="E97" s="19">
        <f t="shared" si="10"/>
        <v>0</v>
      </c>
      <c r="F97" s="9" t="str">
        <f t="shared" si="11"/>
        <v/>
      </c>
      <c r="H97">
        <v>8</v>
      </c>
      <c r="I97" t="str">
        <v>Universidad Autónoma Metropolitana (UAM)</v>
      </c>
      <c r="J97">
        <v>41</v>
      </c>
    </row>
    <row r="98" spans="2:10" x14ac:dyDescent="0.25">
      <c r="B98" s="1" t="s">
        <v>8</v>
      </c>
      <c r="C98" s="37">
        <v>2</v>
      </c>
      <c r="D98" s="21" t="str">
        <f t="shared" si="9"/>
        <v>NO</v>
      </c>
      <c r="E98" s="19">
        <f t="shared" si="10"/>
        <v>0</v>
      </c>
      <c r="F98" s="9" t="str">
        <f t="shared" si="11"/>
        <v/>
      </c>
    </row>
    <row r="99" spans="2:10" x14ac:dyDescent="0.25">
      <c r="B99" s="1" t="s">
        <v>9</v>
      </c>
      <c r="C99" s="37">
        <f>9+14+3+7+8</f>
        <v>41</v>
      </c>
      <c r="D99" s="21" t="str">
        <f t="shared" si="9"/>
        <v>SI</v>
      </c>
      <c r="E99" s="19">
        <f t="shared" si="10"/>
        <v>1</v>
      </c>
      <c r="F99" s="21">
        <f t="shared" si="11"/>
        <v>8</v>
      </c>
    </row>
    <row r="100" spans="2:10" x14ac:dyDescent="0.25">
      <c r="B100" s="1" t="s">
        <v>10</v>
      </c>
      <c r="C100" s="37">
        <f>5+5+17+11+14</f>
        <v>52</v>
      </c>
      <c r="D100" s="21" t="str">
        <f t="shared" si="9"/>
        <v>SI</v>
      </c>
      <c r="E100" s="19">
        <f t="shared" si="10"/>
        <v>1</v>
      </c>
      <c r="F100" s="21">
        <f t="shared" si="11"/>
        <v>5</v>
      </c>
    </row>
    <row r="101" spans="2:10" x14ac:dyDescent="0.25">
      <c r="B101" s="1" t="s">
        <v>11</v>
      </c>
      <c r="C101" s="37">
        <v>2</v>
      </c>
      <c r="D101" s="21" t="str">
        <f t="shared" si="9"/>
        <v>NO</v>
      </c>
      <c r="E101" s="19">
        <f t="shared" si="10"/>
        <v>0</v>
      </c>
      <c r="F101" s="9" t="str">
        <f t="shared" si="11"/>
        <v/>
      </c>
    </row>
    <row r="102" spans="2:10" x14ac:dyDescent="0.25">
      <c r="B102" s="1" t="s">
        <v>12</v>
      </c>
      <c r="C102" s="37">
        <f>19+10+15+11+17</f>
        <v>72</v>
      </c>
      <c r="D102" s="21" t="str">
        <f t="shared" si="9"/>
        <v>SI</v>
      </c>
      <c r="E102" s="19">
        <f t="shared" si="10"/>
        <v>1</v>
      </c>
      <c r="F102" s="21">
        <f t="shared" si="11"/>
        <v>4</v>
      </c>
    </row>
    <row r="103" spans="2:10" x14ac:dyDescent="0.25">
      <c r="B103" s="1" t="s">
        <v>13</v>
      </c>
      <c r="C103" s="37">
        <f>3+2+1+3+1</f>
        <v>10</v>
      </c>
      <c r="D103" s="21" t="str">
        <f t="shared" si="9"/>
        <v>NO</v>
      </c>
      <c r="E103" s="19">
        <f t="shared" si="10"/>
        <v>0</v>
      </c>
      <c r="F103" s="9" t="str">
        <f t="shared" si="11"/>
        <v/>
      </c>
    </row>
    <row r="104" spans="2:10" x14ac:dyDescent="0.25">
      <c r="B104" s="1" t="s">
        <v>14</v>
      </c>
      <c r="C104" s="37">
        <v>1</v>
      </c>
      <c r="D104" s="21" t="str">
        <f t="shared" si="9"/>
        <v>NO</v>
      </c>
      <c r="E104" s="19">
        <f t="shared" si="10"/>
        <v>0</v>
      </c>
      <c r="F104" s="9" t="str">
        <f t="shared" si="11"/>
        <v/>
      </c>
    </row>
    <row r="105" spans="2:10" x14ac:dyDescent="0.25">
      <c r="B105" s="1" t="s">
        <v>15</v>
      </c>
      <c r="C105" s="37">
        <f>26+38+27+16+11</f>
        <v>118</v>
      </c>
      <c r="D105" s="21" t="str">
        <f t="shared" si="9"/>
        <v>SI</v>
      </c>
      <c r="E105" s="19">
        <f t="shared" si="10"/>
        <v>1</v>
      </c>
      <c r="F105" s="21">
        <f t="shared" si="11"/>
        <v>3</v>
      </c>
    </row>
    <row r="106" spans="2:10" x14ac:dyDescent="0.25">
      <c r="B106" s="1" t="s">
        <v>16</v>
      </c>
      <c r="C106" s="37">
        <f>9+2+5+4+11</f>
        <v>31</v>
      </c>
      <c r="D106" s="21" t="str">
        <f t="shared" si="9"/>
        <v>NO</v>
      </c>
      <c r="E106" s="19">
        <f t="shared" si="10"/>
        <v>0</v>
      </c>
      <c r="F106" s="9" t="str">
        <f t="shared" si="11"/>
        <v/>
      </c>
    </row>
    <row r="107" spans="2:10" x14ac:dyDescent="0.25">
      <c r="B107" s="1" t="s">
        <v>17</v>
      </c>
      <c r="C107" s="37">
        <f>3+1+4+3</f>
        <v>11</v>
      </c>
      <c r="D107" s="21" t="str">
        <f t="shared" si="9"/>
        <v>NO</v>
      </c>
      <c r="E107" s="19">
        <f t="shared" si="10"/>
        <v>0</v>
      </c>
      <c r="F107" s="9" t="str">
        <f t="shared" si="11"/>
        <v/>
      </c>
    </row>
    <row r="108" spans="2:10" x14ac:dyDescent="0.25">
      <c r="B108" s="1" t="s">
        <v>18</v>
      </c>
      <c r="C108" s="40" t="s">
        <v>31</v>
      </c>
      <c r="D108" s="21" t="str">
        <f t="shared" si="9"/>
        <v>NO</v>
      </c>
      <c r="E108" s="19">
        <f t="shared" si="10"/>
        <v>0</v>
      </c>
      <c r="F108" s="9" t="str">
        <f t="shared" si="11"/>
        <v/>
      </c>
    </row>
    <row r="109" spans="2:10" x14ac:dyDescent="0.25">
      <c r="B109" s="1" t="s">
        <v>19</v>
      </c>
      <c r="C109" s="37">
        <f>2+3+3+1</f>
        <v>9</v>
      </c>
      <c r="D109" s="21" t="str">
        <f t="shared" si="9"/>
        <v>NO</v>
      </c>
      <c r="E109" s="19">
        <f t="shared" si="10"/>
        <v>0</v>
      </c>
      <c r="F109" s="9" t="str">
        <f t="shared" si="11"/>
        <v/>
      </c>
    </row>
    <row r="110" spans="2:10" x14ac:dyDescent="0.25">
      <c r="B110" s="1" t="s">
        <v>20</v>
      </c>
      <c r="C110" s="37">
        <f>3+6+3+4+6</f>
        <v>22</v>
      </c>
      <c r="D110" s="21" t="str">
        <f t="shared" si="9"/>
        <v>NO</v>
      </c>
      <c r="E110" s="19">
        <f t="shared" si="10"/>
        <v>0</v>
      </c>
      <c r="F110" s="9" t="str">
        <f t="shared" si="11"/>
        <v/>
      </c>
    </row>
    <row r="111" spans="2:10" x14ac:dyDescent="0.25">
      <c r="B111" s="1" t="s">
        <v>21</v>
      </c>
      <c r="C111" s="37">
        <f>10+6+8+12+11</f>
        <v>47</v>
      </c>
      <c r="D111" s="21" t="str">
        <f t="shared" si="9"/>
        <v>SI</v>
      </c>
      <c r="E111" s="19">
        <f t="shared" si="10"/>
        <v>1</v>
      </c>
      <c r="F111" s="21">
        <f t="shared" si="11"/>
        <v>7</v>
      </c>
    </row>
    <row r="112" spans="2:10" x14ac:dyDescent="0.25">
      <c r="B112" s="1" t="s">
        <v>22</v>
      </c>
      <c r="C112" s="37">
        <v>1</v>
      </c>
      <c r="D112" s="21" t="str">
        <f t="shared" si="9"/>
        <v>NO</v>
      </c>
      <c r="E112" s="19">
        <f t="shared" si="10"/>
        <v>0</v>
      </c>
      <c r="F112" s="9" t="str">
        <f t="shared" si="11"/>
        <v/>
      </c>
    </row>
    <row r="113" spans="2:10" x14ac:dyDescent="0.25">
      <c r="B113" s="17" t="s">
        <v>23</v>
      </c>
      <c r="C113" s="42">
        <v>6</v>
      </c>
      <c r="D113" s="21" t="str">
        <f t="shared" si="9"/>
        <v>NO</v>
      </c>
      <c r="E113" s="19">
        <f t="shared" si="10"/>
        <v>0</v>
      </c>
      <c r="F113" s="9" t="str">
        <f t="shared" si="11"/>
        <v/>
      </c>
    </row>
    <row r="114" spans="2:10" x14ac:dyDescent="0.25">
      <c r="B114" s="17" t="s">
        <v>24</v>
      </c>
      <c r="C114" s="40" t="s">
        <v>31</v>
      </c>
      <c r="D114" s="21" t="str">
        <f t="shared" si="9"/>
        <v>NO</v>
      </c>
      <c r="E114" s="19">
        <f t="shared" si="10"/>
        <v>0</v>
      </c>
      <c r="F114" s="9" t="str">
        <f t="shared" si="11"/>
        <v/>
      </c>
    </row>
    <row r="115" spans="2:10" ht="15.75" thickBot="1" x14ac:dyDescent="0.3">
      <c r="B115" s="18" t="s">
        <v>25</v>
      </c>
      <c r="C115" s="44" t="s">
        <v>31</v>
      </c>
      <c r="D115" s="21" t="str">
        <f t="shared" si="9"/>
        <v>NO</v>
      </c>
      <c r="E115" s="19">
        <f t="shared" si="10"/>
        <v>0</v>
      </c>
      <c r="F115" s="9" t="str">
        <f t="shared" si="11"/>
        <v/>
      </c>
    </row>
    <row r="116" spans="2:10" ht="15.75" thickBot="1" x14ac:dyDescent="0.3"/>
    <row r="117" spans="2:10" x14ac:dyDescent="0.25">
      <c r="B117" s="150" t="s">
        <v>58</v>
      </c>
      <c r="C117" s="151"/>
      <c r="D117" s="22" t="s">
        <v>61</v>
      </c>
      <c r="E117" s="23"/>
      <c r="F117" s="24"/>
      <c r="H117" s="8" t="str" cm="1">
        <f t="array" ref="H117:J118">_xlfn.VSTACK({"Ranking ","Universidad","Score"},_xlfn._xlws.SORT(_xlfn._xlws.FILTER(CHOOSE({1,2,3},F119:F143,B119:B143,C119:C143),F119:F143&lt;&gt;""),1,TRUE))</f>
        <v xml:space="preserve">Ranking </v>
      </c>
      <c r="I117" s="8" t="str">
        <v>Universidad</v>
      </c>
      <c r="J117" s="8" t="str">
        <v>Score</v>
      </c>
    </row>
    <row r="118" spans="2:10" ht="15.75" thickBot="1" x14ac:dyDescent="0.3">
      <c r="B118" s="20" t="s">
        <v>42</v>
      </c>
      <c r="C118" s="34" t="s">
        <v>46</v>
      </c>
      <c r="D118" s="25" t="s">
        <v>62</v>
      </c>
      <c r="E118" s="26" t="s">
        <v>29</v>
      </c>
      <c r="F118" s="29" t="s">
        <v>30</v>
      </c>
      <c r="H118">
        <v>1</v>
      </c>
      <c r="I118" t="str">
        <v>Universidad de Guadalajara (UDG)</v>
      </c>
      <c r="J118" t="str">
        <v>SI</v>
      </c>
    </row>
    <row r="119" spans="2:10" x14ac:dyDescent="0.25">
      <c r="B119" s="1" t="s">
        <v>1</v>
      </c>
      <c r="C119" s="37" t="s">
        <v>59</v>
      </c>
      <c r="D119" t="str">
        <f>IF(C119="SI", "SI", "NO")</f>
        <v>NO</v>
      </c>
      <c r="E119" s="19">
        <f>IF(D119="SI", 1, 0)</f>
        <v>0</v>
      </c>
      <c r="F119" s="9"/>
    </row>
    <row r="120" spans="2:10" x14ac:dyDescent="0.25">
      <c r="B120" s="1" t="s">
        <v>2</v>
      </c>
      <c r="C120" s="37" t="s">
        <v>59</v>
      </c>
      <c r="D120" s="21" t="str">
        <f t="shared" ref="D120:D143" si="12">IF(C120="SI", "SI", "NO")</f>
        <v>NO</v>
      </c>
      <c r="E120" s="19">
        <f t="shared" ref="E120:E143" si="13">IF(D120="SI", 1, 0)</f>
        <v>0</v>
      </c>
      <c r="F120" s="9"/>
    </row>
    <row r="121" spans="2:10" x14ac:dyDescent="0.25">
      <c r="B121" s="1" t="s">
        <v>3</v>
      </c>
      <c r="C121" s="37" t="s">
        <v>59</v>
      </c>
      <c r="D121" s="21" t="str">
        <f t="shared" si="12"/>
        <v>NO</v>
      </c>
      <c r="E121" s="19">
        <f t="shared" si="13"/>
        <v>0</v>
      </c>
      <c r="F121" s="9"/>
    </row>
    <row r="122" spans="2:10" x14ac:dyDescent="0.25">
      <c r="B122" s="1" t="s">
        <v>4</v>
      </c>
      <c r="C122" s="37" t="s">
        <v>59</v>
      </c>
      <c r="D122" s="21" t="str">
        <f t="shared" si="12"/>
        <v>NO</v>
      </c>
      <c r="E122" s="19">
        <f t="shared" si="13"/>
        <v>0</v>
      </c>
      <c r="F122" s="9"/>
    </row>
    <row r="123" spans="2:10" x14ac:dyDescent="0.25">
      <c r="B123" s="1" t="s">
        <v>5</v>
      </c>
      <c r="C123" s="37" t="s">
        <v>59</v>
      </c>
      <c r="D123" s="21" t="str">
        <f t="shared" si="12"/>
        <v>NO</v>
      </c>
      <c r="E123" s="19">
        <f t="shared" si="13"/>
        <v>0</v>
      </c>
      <c r="F123" s="9"/>
    </row>
    <row r="124" spans="2:10" x14ac:dyDescent="0.25">
      <c r="B124" s="1" t="s">
        <v>6</v>
      </c>
      <c r="C124" s="37" t="s">
        <v>59</v>
      </c>
      <c r="D124" s="21" t="str">
        <f t="shared" si="12"/>
        <v>NO</v>
      </c>
      <c r="E124" s="19">
        <f t="shared" si="13"/>
        <v>0</v>
      </c>
      <c r="F124" s="9"/>
    </row>
    <row r="125" spans="2:10" x14ac:dyDescent="0.25">
      <c r="B125" s="1" t="s">
        <v>7</v>
      </c>
      <c r="C125" s="37" t="s">
        <v>59</v>
      </c>
      <c r="D125" s="21" t="str">
        <f t="shared" si="12"/>
        <v>NO</v>
      </c>
      <c r="E125" s="19">
        <f t="shared" si="13"/>
        <v>0</v>
      </c>
      <c r="F125" s="9"/>
    </row>
    <row r="126" spans="2:10" x14ac:dyDescent="0.25">
      <c r="B126" s="1" t="s">
        <v>8</v>
      </c>
      <c r="C126" s="37" t="s">
        <v>59</v>
      </c>
      <c r="D126" s="21" t="str">
        <f t="shared" si="12"/>
        <v>NO</v>
      </c>
      <c r="E126" s="19">
        <f t="shared" si="13"/>
        <v>0</v>
      </c>
      <c r="F126" s="9"/>
    </row>
    <row r="127" spans="2:10" x14ac:dyDescent="0.25">
      <c r="B127" s="1" t="s">
        <v>9</v>
      </c>
      <c r="C127" s="37" t="s">
        <v>59</v>
      </c>
      <c r="D127" s="21" t="str">
        <f t="shared" si="12"/>
        <v>NO</v>
      </c>
      <c r="E127" s="19">
        <f t="shared" si="13"/>
        <v>0</v>
      </c>
      <c r="F127" s="9"/>
    </row>
    <row r="128" spans="2:10" x14ac:dyDescent="0.25">
      <c r="B128" s="1" t="s">
        <v>10</v>
      </c>
      <c r="C128" s="37" t="s">
        <v>60</v>
      </c>
      <c r="D128" s="21" t="str">
        <f t="shared" si="12"/>
        <v>SI</v>
      </c>
      <c r="E128" s="19">
        <f t="shared" si="13"/>
        <v>1</v>
      </c>
      <c r="F128">
        <v>1</v>
      </c>
    </row>
    <row r="129" spans="2:6" x14ac:dyDescent="0.25">
      <c r="B129" s="1" t="s">
        <v>11</v>
      </c>
      <c r="C129" s="37" t="s">
        <v>59</v>
      </c>
      <c r="D129" s="21" t="str">
        <f t="shared" si="12"/>
        <v>NO</v>
      </c>
      <c r="E129" s="19">
        <f t="shared" si="13"/>
        <v>0</v>
      </c>
      <c r="F129" s="9"/>
    </row>
    <row r="130" spans="2:6" x14ac:dyDescent="0.25">
      <c r="B130" s="1" t="s">
        <v>12</v>
      </c>
      <c r="C130" s="37" t="s">
        <v>59</v>
      </c>
      <c r="D130" s="21" t="str">
        <f t="shared" si="12"/>
        <v>NO</v>
      </c>
      <c r="E130" s="19">
        <f t="shared" si="13"/>
        <v>0</v>
      </c>
      <c r="F130" s="9"/>
    </row>
    <row r="131" spans="2:6" x14ac:dyDescent="0.25">
      <c r="B131" s="1" t="s">
        <v>13</v>
      </c>
      <c r="C131" s="37" t="s">
        <v>59</v>
      </c>
      <c r="D131" s="21" t="str">
        <f t="shared" si="12"/>
        <v>NO</v>
      </c>
      <c r="E131" s="19">
        <f t="shared" si="13"/>
        <v>0</v>
      </c>
      <c r="F131" s="9"/>
    </row>
    <row r="132" spans="2:6" x14ac:dyDescent="0.25">
      <c r="B132" s="1" t="s">
        <v>14</v>
      </c>
      <c r="C132" s="37" t="s">
        <v>59</v>
      </c>
      <c r="D132" s="21" t="str">
        <f t="shared" si="12"/>
        <v>NO</v>
      </c>
      <c r="E132" s="19">
        <f t="shared" si="13"/>
        <v>0</v>
      </c>
      <c r="F132" s="9"/>
    </row>
    <row r="133" spans="2:6" x14ac:dyDescent="0.25">
      <c r="B133" s="1" t="s">
        <v>15</v>
      </c>
      <c r="C133" s="37" t="s">
        <v>59</v>
      </c>
      <c r="D133" s="21" t="str">
        <f t="shared" si="12"/>
        <v>NO</v>
      </c>
      <c r="E133" s="19">
        <f t="shared" si="13"/>
        <v>0</v>
      </c>
      <c r="F133" s="9"/>
    </row>
    <row r="134" spans="2:6" x14ac:dyDescent="0.25">
      <c r="B134" s="1" t="s">
        <v>16</v>
      </c>
      <c r="C134" s="37" t="s">
        <v>59</v>
      </c>
      <c r="D134" s="21" t="str">
        <f t="shared" si="12"/>
        <v>NO</v>
      </c>
      <c r="E134" s="19">
        <f t="shared" si="13"/>
        <v>0</v>
      </c>
      <c r="F134" s="9"/>
    </row>
    <row r="135" spans="2:6" x14ac:dyDescent="0.25">
      <c r="B135" s="1" t="s">
        <v>17</v>
      </c>
      <c r="C135" s="37" t="s">
        <v>59</v>
      </c>
      <c r="D135" s="21" t="str">
        <f t="shared" si="12"/>
        <v>NO</v>
      </c>
      <c r="E135" s="19">
        <f t="shared" si="13"/>
        <v>0</v>
      </c>
      <c r="F135" s="9"/>
    </row>
    <row r="136" spans="2:6" x14ac:dyDescent="0.25">
      <c r="B136" s="1" t="s">
        <v>18</v>
      </c>
      <c r="C136" s="37" t="s">
        <v>59</v>
      </c>
      <c r="D136" s="21" t="str">
        <f t="shared" si="12"/>
        <v>NO</v>
      </c>
      <c r="E136" s="19">
        <f t="shared" si="13"/>
        <v>0</v>
      </c>
      <c r="F136" s="9"/>
    </row>
    <row r="137" spans="2:6" x14ac:dyDescent="0.25">
      <c r="B137" s="1" t="s">
        <v>19</v>
      </c>
      <c r="C137" s="37" t="s">
        <v>59</v>
      </c>
      <c r="D137" s="21" t="str">
        <f t="shared" si="12"/>
        <v>NO</v>
      </c>
      <c r="E137" s="19">
        <f t="shared" si="13"/>
        <v>0</v>
      </c>
      <c r="F137" s="9"/>
    </row>
    <row r="138" spans="2:6" x14ac:dyDescent="0.25">
      <c r="B138" s="1" t="s">
        <v>20</v>
      </c>
      <c r="C138" s="37" t="s">
        <v>59</v>
      </c>
      <c r="D138" s="21" t="str">
        <f t="shared" si="12"/>
        <v>NO</v>
      </c>
      <c r="E138" s="19">
        <f t="shared" si="13"/>
        <v>0</v>
      </c>
      <c r="F138" s="9"/>
    </row>
    <row r="139" spans="2:6" x14ac:dyDescent="0.25">
      <c r="B139" s="1" t="s">
        <v>21</v>
      </c>
      <c r="C139" s="37" t="s">
        <v>59</v>
      </c>
      <c r="D139" s="21" t="str">
        <f t="shared" si="12"/>
        <v>NO</v>
      </c>
      <c r="E139" s="19">
        <f t="shared" si="13"/>
        <v>0</v>
      </c>
      <c r="F139" s="9"/>
    </row>
    <row r="140" spans="2:6" x14ac:dyDescent="0.25">
      <c r="B140" s="1" t="s">
        <v>22</v>
      </c>
      <c r="C140" s="37" t="s">
        <v>59</v>
      </c>
      <c r="D140" s="21" t="str">
        <f t="shared" si="12"/>
        <v>NO</v>
      </c>
      <c r="E140" s="19">
        <f t="shared" si="13"/>
        <v>0</v>
      </c>
      <c r="F140" s="9"/>
    </row>
    <row r="141" spans="2:6" x14ac:dyDescent="0.25">
      <c r="B141" s="17" t="s">
        <v>23</v>
      </c>
      <c r="C141" s="37" t="s">
        <v>59</v>
      </c>
      <c r="D141" s="21" t="str">
        <f t="shared" si="12"/>
        <v>NO</v>
      </c>
      <c r="E141" s="19">
        <f t="shared" si="13"/>
        <v>0</v>
      </c>
      <c r="F141" s="9"/>
    </row>
    <row r="142" spans="2:6" x14ac:dyDescent="0.25">
      <c r="B142" s="17" t="s">
        <v>24</v>
      </c>
      <c r="C142" s="37" t="s">
        <v>59</v>
      </c>
      <c r="D142" s="21" t="str">
        <f t="shared" si="12"/>
        <v>NO</v>
      </c>
      <c r="E142" s="19">
        <f t="shared" si="13"/>
        <v>0</v>
      </c>
      <c r="F142" s="9"/>
    </row>
    <row r="143" spans="2:6" ht="15.75" thickBot="1" x14ac:dyDescent="0.3">
      <c r="B143" s="18" t="s">
        <v>25</v>
      </c>
      <c r="C143" s="45" t="s">
        <v>59</v>
      </c>
      <c r="D143" s="21" t="str">
        <f t="shared" si="12"/>
        <v>NO</v>
      </c>
      <c r="E143" s="19">
        <f t="shared" si="13"/>
        <v>0</v>
      </c>
      <c r="F143" s="9"/>
    </row>
  </sheetData>
  <mergeCells count="5">
    <mergeCell ref="B2:C2"/>
    <mergeCell ref="B31:C31"/>
    <mergeCell ref="B60:C60"/>
    <mergeCell ref="B89:C89"/>
    <mergeCell ref="B117:C117"/>
  </mergeCells>
  <conditionalFormatting sqref="D4:D28">
    <cfRule type="containsText" dxfId="33" priority="34" operator="containsText" text="NO">
      <formula>NOT(ISERROR(SEARCH("NO",D4)))</formula>
    </cfRule>
    <cfRule type="containsText" dxfId="32" priority="35" operator="containsText" text="SI">
      <formula>NOT(ISERROR(SEARCH("SI",D4)))</formula>
    </cfRule>
  </conditionalFormatting>
  <conditionalFormatting sqref="D33:D57">
    <cfRule type="containsText" dxfId="31" priority="27" operator="containsText" text="NO">
      <formula>NOT(ISERROR(SEARCH("NO",D33)))</formula>
    </cfRule>
    <cfRule type="containsText" dxfId="30" priority="28" operator="containsText" text="SI">
      <formula>NOT(ISERROR(SEARCH("SI",D33)))</formula>
    </cfRule>
  </conditionalFormatting>
  <conditionalFormatting sqref="D62:D86">
    <cfRule type="containsText" dxfId="29" priority="12" operator="containsText" text="NO">
      <formula>NOT(ISERROR(SEARCH("NO",D62)))</formula>
    </cfRule>
    <cfRule type="containsText" dxfId="28" priority="13" operator="containsText" text="SI">
      <formula>NOT(ISERROR(SEARCH("SI",D62)))</formula>
    </cfRule>
  </conditionalFormatting>
  <conditionalFormatting sqref="D91:D115">
    <cfRule type="containsText" dxfId="27" priority="19" operator="containsText" text="SI">
      <formula>NOT(ISERROR(SEARCH("SI",D91)))</formula>
    </cfRule>
    <cfRule type="containsText" dxfId="26" priority="18" operator="containsText" text="NO">
      <formula>NOT(ISERROR(SEARCH("NO",D91)))</formula>
    </cfRule>
  </conditionalFormatting>
  <conditionalFormatting sqref="D119:D143">
    <cfRule type="containsText" dxfId="25" priority="3" operator="containsText" text="NO">
      <formula>NOT(ISERROR(SEARCH("NO",D119)))</formula>
    </cfRule>
    <cfRule type="containsText" dxfId="24" priority="4" operator="containsText" text="SI">
      <formula>NOT(ISERROR(SEARCH("SI",D119)))</formula>
    </cfRule>
  </conditionalFormatting>
  <conditionalFormatting sqref="E4:E28">
    <cfRule type="containsText" dxfId="23" priority="32" operator="containsText" text="0">
      <formula>NOT(ISERROR(SEARCH("0",E4)))</formula>
    </cfRule>
    <cfRule type="containsText" dxfId="22" priority="33" operator="containsText" text="1">
      <formula>NOT(ISERROR(SEARCH("1",E4)))</formula>
    </cfRule>
  </conditionalFormatting>
  <conditionalFormatting sqref="E33:E57">
    <cfRule type="containsText" dxfId="21" priority="25" operator="containsText" text="0">
      <formula>NOT(ISERROR(SEARCH("0",E33)))</formula>
    </cfRule>
    <cfRule type="containsText" dxfId="20" priority="26" operator="containsText" text="1">
      <formula>NOT(ISERROR(SEARCH("1",E33)))</formula>
    </cfRule>
  </conditionalFormatting>
  <conditionalFormatting sqref="E62:E86">
    <cfRule type="containsText" dxfId="19" priority="9" operator="containsText" text="0">
      <formula>NOT(ISERROR(SEARCH("0",E62)))</formula>
    </cfRule>
    <cfRule type="containsText" dxfId="18" priority="10" operator="containsText" text="1">
      <formula>NOT(ISERROR(SEARCH("1",E62)))</formula>
    </cfRule>
    <cfRule type="containsText" priority="11" operator="containsText" text="1">
      <formula>NOT(ISERROR(SEARCH("1",E62)))</formula>
    </cfRule>
  </conditionalFormatting>
  <conditionalFormatting sqref="E91:E115">
    <cfRule type="containsText" dxfId="17" priority="16" operator="containsText" text="0">
      <formula>NOT(ISERROR(SEARCH("0",E91)))</formula>
    </cfRule>
    <cfRule type="containsText" dxfId="16" priority="17" operator="containsText" text="1">
      <formula>NOT(ISERROR(SEARCH("1",E91)))</formula>
    </cfRule>
  </conditionalFormatting>
  <conditionalFormatting sqref="E119:E143">
    <cfRule type="containsText" dxfId="15" priority="5" operator="containsText" text="0">
      <formula>NOT(ISERROR(SEARCH("0",E119)))</formula>
    </cfRule>
    <cfRule type="containsText" dxfId="14" priority="6" operator="containsText" text="1">
      <formula>NOT(ISERROR(SEARCH("1",E119)))</formula>
    </cfRule>
  </conditionalFormatting>
  <conditionalFormatting sqref="F4:F28">
    <cfRule type="colorScale" priority="31">
      <colorScale>
        <cfvo type="min"/>
        <cfvo type="max"/>
        <color rgb="FF63BE7B"/>
        <color rgb="FFFCFCFF"/>
      </colorScale>
    </cfRule>
  </conditionalFormatting>
  <conditionalFormatting sqref="F33:F57">
    <cfRule type="colorScale" priority="23">
      <colorScale>
        <cfvo type="min"/>
        <cfvo type="max"/>
        <color rgb="FF63BE7B"/>
        <color rgb="FFFCFCFF"/>
      </colorScale>
    </cfRule>
  </conditionalFormatting>
  <conditionalFormatting sqref="F62:F86">
    <cfRule type="colorScale" priority="8">
      <colorScale>
        <cfvo type="min"/>
        <cfvo type="max"/>
        <color rgb="FF63BE7B"/>
        <color rgb="FFFCFCFF"/>
      </colorScale>
    </cfRule>
  </conditionalFormatting>
  <conditionalFormatting sqref="F91:F115">
    <cfRule type="colorScale" priority="22">
      <colorScale>
        <cfvo type="min"/>
        <cfvo type="max"/>
        <color rgb="FF63BE7B"/>
        <color rgb="FFFCFCFF"/>
      </colorScale>
    </cfRule>
  </conditionalFormatting>
  <conditionalFormatting sqref="F118:F143">
    <cfRule type="colorScale" priority="7">
      <colorScale>
        <cfvo type="min"/>
        <cfvo type="max"/>
        <color rgb="FFFCFCFF"/>
        <color rgb="FF63BE7B"/>
      </colorScale>
    </cfRule>
  </conditionalFormatting>
  <conditionalFormatting sqref="H3:H11">
    <cfRule type="colorScale" priority="37">
      <colorScale>
        <cfvo type="min"/>
        <cfvo type="max"/>
        <color rgb="FF63BE7B"/>
        <color rgb="FFFCFCFF"/>
      </colorScale>
    </cfRule>
  </conditionalFormatting>
  <conditionalFormatting sqref="H32:H39">
    <cfRule type="colorScale" priority="30">
      <colorScale>
        <cfvo type="min"/>
        <cfvo type="max"/>
        <color rgb="FF63BE7B"/>
        <color rgb="FFFCFCFF"/>
      </colorScale>
    </cfRule>
  </conditionalFormatting>
  <conditionalFormatting sqref="H61:H69">
    <cfRule type="colorScale" priority="15">
      <colorScale>
        <cfvo type="min"/>
        <cfvo type="max"/>
        <color rgb="FF63BE7B"/>
        <color rgb="FFFCFCFF"/>
      </colorScale>
    </cfRule>
  </conditionalFormatting>
  <conditionalFormatting sqref="H90:H97">
    <cfRule type="colorScale" priority="21">
      <colorScale>
        <cfvo type="min"/>
        <cfvo type="max"/>
        <color rgb="FF63BE7B"/>
        <color rgb="FFFCFCFF"/>
      </colorScale>
    </cfRule>
  </conditionalFormatting>
  <conditionalFormatting sqref="H118">
    <cfRule type="colorScale" priority="2">
      <colorScale>
        <cfvo type="min"/>
        <cfvo type="max"/>
        <color rgb="FFFCFCFF"/>
        <color rgb="FF63BE7B"/>
      </colorScale>
    </cfRule>
  </conditionalFormatting>
  <conditionalFormatting sqref="J3:J11">
    <cfRule type="colorScale" priority="36">
      <colorScale>
        <cfvo type="min"/>
        <cfvo type="max"/>
        <color rgb="FFFCFCFF"/>
        <color rgb="FF63BE7B"/>
      </colorScale>
    </cfRule>
  </conditionalFormatting>
  <conditionalFormatting sqref="J32:J39">
    <cfRule type="colorScale" priority="29">
      <colorScale>
        <cfvo type="min"/>
        <cfvo type="max"/>
        <color rgb="FFFCFCFF"/>
        <color rgb="FF63BE7B"/>
      </colorScale>
    </cfRule>
  </conditionalFormatting>
  <conditionalFormatting sqref="J61:J69">
    <cfRule type="colorScale" priority="14">
      <colorScale>
        <cfvo type="min"/>
        <cfvo type="max"/>
        <color rgb="FFFCFCFF"/>
        <color rgb="FF63BE7B"/>
      </colorScale>
    </cfRule>
  </conditionalFormatting>
  <conditionalFormatting sqref="J90:J97">
    <cfRule type="colorScale" priority="20">
      <colorScale>
        <cfvo type="min"/>
        <cfvo type="max"/>
        <color rgb="FFFCFCFF"/>
        <color rgb="FF63BE7B"/>
      </colorScale>
    </cfRule>
  </conditionalFormatting>
  <conditionalFormatting sqref="J118">
    <cfRule type="colorScale" priority="1">
      <colorScale>
        <cfvo type="min"/>
        <cfvo type="max"/>
        <color rgb="FFFCFCFF"/>
        <color rgb="FF63BE7B"/>
      </colorScale>
    </cfRule>
  </conditionalFormatting>
  <pageMargins left="0.7" right="0.7" top="0.75" bottom="0.75" header="0.3" footer="0.3"/>
  <headerFooter>
    <oddFooter>&amp;C_x000D_&amp;1#&amp;"Calibri"&amp;8&amp;K000000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3AC59-6659-4C9C-888B-8C56B47D4C2F}">
  <dimension ref="B1:J28"/>
  <sheetViews>
    <sheetView zoomScaleNormal="100" workbookViewId="0">
      <selection activeCell="J18" sqref="J18"/>
    </sheetView>
  </sheetViews>
  <sheetFormatPr defaultRowHeight="15" x14ac:dyDescent="0.25"/>
  <cols>
    <col min="2" max="2" width="47.42578125" bestFit="1" customWidth="1"/>
    <col min="9" max="9" width="47.42578125" bestFit="1" customWidth="1"/>
  </cols>
  <sheetData>
    <row r="1" spans="2:10" ht="15.75" thickBot="1" x14ac:dyDescent="0.3"/>
    <row r="2" spans="2:10" x14ac:dyDescent="0.25">
      <c r="B2" s="154" t="s">
        <v>47</v>
      </c>
      <c r="C2" s="155"/>
      <c r="D2" t="s">
        <v>39</v>
      </c>
      <c r="E2">
        <f>SUM(C4:C28)/COUNT(C4:C28)</f>
        <v>38.36</v>
      </c>
      <c r="H2" s="8" t="str" cm="1">
        <f t="array" ref="H2:J12">_xlfn.VSTACK({"Ranking","Universidades","Score"},_xlfn._xlws.SORT(_xlfn._xlws.FILTER(CHOOSE({1,2,3},F4:F28,B4:B28,C4:C28),F4:F28&lt;&gt;""),1,TRUE))</f>
        <v>Ranking</v>
      </c>
      <c r="I2" s="8" t="str">
        <v>Universidades</v>
      </c>
      <c r="J2" s="8" t="str">
        <v>Score</v>
      </c>
    </row>
    <row r="3" spans="2:10" x14ac:dyDescent="0.25">
      <c r="B3" s="14" t="s">
        <v>45</v>
      </c>
      <c r="C3" s="15" t="s">
        <v>46</v>
      </c>
      <c r="D3" t="s">
        <v>48</v>
      </c>
      <c r="E3" t="s">
        <v>29</v>
      </c>
      <c r="F3" t="s">
        <v>30</v>
      </c>
      <c r="H3">
        <v>1</v>
      </c>
      <c r="I3" t="str">
        <v>Universidad de Guadalajara (UDG)</v>
      </c>
      <c r="J3">
        <v>181</v>
      </c>
    </row>
    <row r="4" spans="2:10" x14ac:dyDescent="0.25">
      <c r="B4" s="16" t="s">
        <v>1</v>
      </c>
      <c r="C4" s="11">
        <v>38</v>
      </c>
      <c r="D4" t="str">
        <f>IF(ISNUMBER(C4), IF(C4&gt;30, "SI", "NO"), "NO")</f>
        <v>SI</v>
      </c>
      <c r="E4">
        <f>IF(D4="SI", 1, 0)</f>
        <v>1</v>
      </c>
      <c r="F4">
        <f>IF(E4=1,COUNTIFS($E$4:$E$28,1,$C$4:$C$28,"&gt;"&amp;C4)+1,"")</f>
        <v>8</v>
      </c>
      <c r="H4">
        <v>2</v>
      </c>
      <c r="I4" t="str">
        <v>Tecnológico de Monterrey (ITESM)</v>
      </c>
      <c r="J4">
        <v>169</v>
      </c>
    </row>
    <row r="5" spans="2:10" x14ac:dyDescent="0.25">
      <c r="B5" s="16" t="s">
        <v>2</v>
      </c>
      <c r="C5" s="11">
        <v>169</v>
      </c>
      <c r="D5" s="13" t="str">
        <f t="shared" ref="D5:D28" si="0">IF(ISNUMBER(C5), IF(C5&gt;30, "SI", "NO"), "NO")</f>
        <v>SI</v>
      </c>
      <c r="E5" s="13">
        <f t="shared" ref="E5:E28" si="1">IF(D5="SI", 1, 0)</f>
        <v>1</v>
      </c>
      <c r="F5" s="13">
        <f t="shared" ref="F5:F28" si="2">IF(E5=1,COUNTIFS($E$4:$E$28,1,$C$4:$C$28,"&gt;"&amp;C5)+1,"")</f>
        <v>2</v>
      </c>
      <c r="H5">
        <v>3</v>
      </c>
      <c r="I5" t="str">
        <v>Universidad Jesuita de Guadalajara - ITESO</v>
      </c>
      <c r="J5">
        <v>131</v>
      </c>
    </row>
    <row r="6" spans="2:10" x14ac:dyDescent="0.25">
      <c r="B6" s="16" t="s">
        <v>3</v>
      </c>
      <c r="C6" s="11">
        <v>34</v>
      </c>
      <c r="D6" s="13" t="str">
        <f t="shared" si="0"/>
        <v>SI</v>
      </c>
      <c r="E6" s="13">
        <f t="shared" si="1"/>
        <v>1</v>
      </c>
      <c r="F6" s="13">
        <f t="shared" si="2"/>
        <v>9</v>
      </c>
      <c r="H6">
        <v>4</v>
      </c>
      <c r="I6" t="str">
        <v>Instituto Politécnico Nacional (IPN)</v>
      </c>
      <c r="J6">
        <v>118</v>
      </c>
    </row>
    <row r="7" spans="2:10" x14ac:dyDescent="0.25">
      <c r="B7" s="16" t="s">
        <v>4</v>
      </c>
      <c r="C7" s="11">
        <v>0</v>
      </c>
      <c r="D7" s="13" t="str">
        <f t="shared" si="0"/>
        <v>NO</v>
      </c>
      <c r="E7" s="13">
        <f t="shared" si="1"/>
        <v>0</v>
      </c>
      <c r="F7" s="9" t="str">
        <f t="shared" si="2"/>
        <v/>
      </c>
      <c r="H7">
        <v>5</v>
      </c>
      <c r="I7" t="str">
        <v>Universidad Autónoma de Guadalajara</v>
      </c>
      <c r="J7">
        <v>71</v>
      </c>
    </row>
    <row r="8" spans="2:10" x14ac:dyDescent="0.25">
      <c r="B8" s="16" t="s">
        <v>5</v>
      </c>
      <c r="C8" s="11">
        <v>118</v>
      </c>
      <c r="D8" s="13" t="str">
        <f t="shared" si="0"/>
        <v>SI</v>
      </c>
      <c r="E8" s="13">
        <f t="shared" si="1"/>
        <v>1</v>
      </c>
      <c r="F8" s="13">
        <f t="shared" si="2"/>
        <v>4</v>
      </c>
      <c r="H8">
        <v>6</v>
      </c>
      <c r="I8" t="str">
        <v>Universidad Autónoma de Queretaro (UAQ)</v>
      </c>
      <c r="J8">
        <v>59</v>
      </c>
    </row>
    <row r="9" spans="2:10" x14ac:dyDescent="0.25">
      <c r="B9" s="16" t="s">
        <v>6</v>
      </c>
      <c r="C9" s="11">
        <v>4</v>
      </c>
      <c r="D9" s="13" t="str">
        <f t="shared" si="0"/>
        <v>NO</v>
      </c>
      <c r="E9" s="13">
        <f t="shared" si="1"/>
        <v>0</v>
      </c>
      <c r="F9" s="9" t="str">
        <f t="shared" si="2"/>
        <v/>
      </c>
      <c r="H9">
        <v>7</v>
      </c>
      <c r="I9" t="str">
        <v>Universidad Tecnológica de Queretaro</v>
      </c>
      <c r="J9">
        <v>46</v>
      </c>
    </row>
    <row r="10" spans="2:10" x14ac:dyDescent="0.25">
      <c r="B10" s="16" t="s">
        <v>7</v>
      </c>
      <c r="C10" s="11">
        <v>0</v>
      </c>
      <c r="D10" s="13" t="str">
        <f t="shared" si="0"/>
        <v>NO</v>
      </c>
      <c r="E10" s="13">
        <f t="shared" si="1"/>
        <v>0</v>
      </c>
      <c r="F10" s="9" t="str">
        <f t="shared" si="2"/>
        <v/>
      </c>
      <c r="H10">
        <v>8</v>
      </c>
      <c r="I10" t="str">
        <v>Universidad Nacional Autónoma de México (UNAM)</v>
      </c>
      <c r="J10">
        <v>38</v>
      </c>
    </row>
    <row r="11" spans="2:10" x14ac:dyDescent="0.25">
      <c r="B11" s="16" t="s">
        <v>8</v>
      </c>
      <c r="C11" s="11">
        <v>6</v>
      </c>
      <c r="D11" s="13" t="str">
        <f t="shared" si="0"/>
        <v>NO</v>
      </c>
      <c r="E11" s="13">
        <f t="shared" si="1"/>
        <v>0</v>
      </c>
      <c r="F11" s="9" t="str">
        <f t="shared" si="2"/>
        <v/>
      </c>
      <c r="H11">
        <v>9</v>
      </c>
      <c r="I11" t="str">
        <v>Universidad Panamericana (UP)</v>
      </c>
      <c r="J11">
        <v>34</v>
      </c>
    </row>
    <row r="12" spans="2:10" x14ac:dyDescent="0.25">
      <c r="B12" s="16" t="s">
        <v>9</v>
      </c>
      <c r="C12" s="11">
        <v>6</v>
      </c>
      <c r="D12" s="13" t="str">
        <f t="shared" si="0"/>
        <v>NO</v>
      </c>
      <c r="E12" s="13">
        <f t="shared" si="1"/>
        <v>0</v>
      </c>
      <c r="F12" s="9" t="str">
        <f t="shared" si="2"/>
        <v/>
      </c>
      <c r="H12">
        <v>10</v>
      </c>
      <c r="I12" t="str">
        <v>Universidad de Guanajuato</v>
      </c>
      <c r="J12">
        <v>31</v>
      </c>
    </row>
    <row r="13" spans="2:10" x14ac:dyDescent="0.25">
      <c r="B13" s="16" t="s">
        <v>10</v>
      </c>
      <c r="C13" s="11">
        <v>181</v>
      </c>
      <c r="D13" s="13" t="str">
        <f t="shared" si="0"/>
        <v>SI</v>
      </c>
      <c r="E13" s="13">
        <f t="shared" si="1"/>
        <v>1</v>
      </c>
      <c r="F13" s="13">
        <f t="shared" si="2"/>
        <v>1</v>
      </c>
    </row>
    <row r="14" spans="2:10" x14ac:dyDescent="0.25">
      <c r="B14" s="16" t="s">
        <v>11</v>
      </c>
      <c r="C14" s="11">
        <v>11</v>
      </c>
      <c r="D14" s="13" t="str">
        <f t="shared" si="0"/>
        <v>NO</v>
      </c>
      <c r="E14" s="13">
        <f t="shared" si="1"/>
        <v>0</v>
      </c>
      <c r="F14" s="9" t="str">
        <f t="shared" si="2"/>
        <v/>
      </c>
    </row>
    <row r="15" spans="2:10" x14ac:dyDescent="0.25">
      <c r="B15" s="16" t="s">
        <v>12</v>
      </c>
      <c r="C15" s="11">
        <v>19</v>
      </c>
      <c r="D15" s="13" t="str">
        <f t="shared" si="0"/>
        <v>NO</v>
      </c>
      <c r="E15" s="13">
        <f t="shared" si="1"/>
        <v>0</v>
      </c>
      <c r="F15" s="9" t="str">
        <f t="shared" si="2"/>
        <v/>
      </c>
    </row>
    <row r="16" spans="2:10" x14ac:dyDescent="0.25">
      <c r="B16" s="16" t="s">
        <v>13</v>
      </c>
      <c r="C16" s="11">
        <v>1</v>
      </c>
      <c r="D16" s="13" t="str">
        <f t="shared" si="0"/>
        <v>NO</v>
      </c>
      <c r="E16" s="13">
        <f t="shared" si="1"/>
        <v>0</v>
      </c>
      <c r="F16" s="9" t="str">
        <f t="shared" si="2"/>
        <v/>
      </c>
    </row>
    <row r="17" spans="2:6" x14ac:dyDescent="0.25">
      <c r="B17" s="16" t="s">
        <v>14</v>
      </c>
      <c r="C17" s="11">
        <v>71</v>
      </c>
      <c r="D17" s="13" t="str">
        <f t="shared" si="0"/>
        <v>SI</v>
      </c>
      <c r="E17" s="13">
        <f t="shared" si="1"/>
        <v>1</v>
      </c>
      <c r="F17" s="13">
        <f t="shared" si="2"/>
        <v>5</v>
      </c>
    </row>
    <row r="18" spans="2:6" x14ac:dyDescent="0.25">
      <c r="B18" s="16" t="s">
        <v>15</v>
      </c>
      <c r="C18" s="11">
        <v>0</v>
      </c>
      <c r="D18" s="13" t="str">
        <f t="shared" si="0"/>
        <v>NO</v>
      </c>
      <c r="E18" s="13">
        <f t="shared" si="1"/>
        <v>0</v>
      </c>
      <c r="F18" s="9" t="str">
        <f t="shared" si="2"/>
        <v/>
      </c>
    </row>
    <row r="19" spans="2:6" x14ac:dyDescent="0.25">
      <c r="B19" s="16" t="s">
        <v>16</v>
      </c>
      <c r="C19" s="11">
        <v>2</v>
      </c>
      <c r="D19" s="13" t="str">
        <f t="shared" si="0"/>
        <v>NO</v>
      </c>
      <c r="E19" s="13">
        <f t="shared" si="1"/>
        <v>0</v>
      </c>
      <c r="F19" s="9" t="str">
        <f t="shared" si="2"/>
        <v/>
      </c>
    </row>
    <row r="20" spans="2:6" x14ac:dyDescent="0.25">
      <c r="B20" s="16" t="s">
        <v>17</v>
      </c>
      <c r="C20" s="11">
        <v>6</v>
      </c>
      <c r="D20" s="13" t="str">
        <f t="shared" si="0"/>
        <v>NO</v>
      </c>
      <c r="E20" s="13">
        <f t="shared" si="1"/>
        <v>0</v>
      </c>
      <c r="F20" s="9" t="str">
        <f t="shared" si="2"/>
        <v/>
      </c>
    </row>
    <row r="21" spans="2:6" x14ac:dyDescent="0.25">
      <c r="B21" s="16" t="s">
        <v>18</v>
      </c>
      <c r="C21" s="11">
        <v>1</v>
      </c>
      <c r="D21" s="13" t="str">
        <f t="shared" si="0"/>
        <v>NO</v>
      </c>
      <c r="E21" s="13">
        <f t="shared" si="1"/>
        <v>0</v>
      </c>
      <c r="F21" s="9" t="str">
        <f t="shared" si="2"/>
        <v/>
      </c>
    </row>
    <row r="22" spans="2:6" x14ac:dyDescent="0.25">
      <c r="B22" s="16" t="s">
        <v>19</v>
      </c>
      <c r="C22" s="11">
        <v>131</v>
      </c>
      <c r="D22" s="13" t="str">
        <f t="shared" si="0"/>
        <v>SI</v>
      </c>
      <c r="E22" s="13">
        <f t="shared" si="1"/>
        <v>1</v>
      </c>
      <c r="F22" s="13">
        <f t="shared" si="2"/>
        <v>3</v>
      </c>
    </row>
    <row r="23" spans="2:6" x14ac:dyDescent="0.25">
      <c r="B23" s="16" t="s">
        <v>20</v>
      </c>
      <c r="C23" s="11">
        <v>5</v>
      </c>
      <c r="D23" s="13" t="str">
        <f t="shared" si="0"/>
        <v>NO</v>
      </c>
      <c r="E23" s="13">
        <f t="shared" si="1"/>
        <v>0</v>
      </c>
      <c r="F23" s="9" t="str">
        <f t="shared" si="2"/>
        <v/>
      </c>
    </row>
    <row r="24" spans="2:6" x14ac:dyDescent="0.25">
      <c r="B24" s="16" t="s">
        <v>21</v>
      </c>
      <c r="C24" s="11">
        <v>31</v>
      </c>
      <c r="D24" s="13" t="str">
        <f t="shared" si="0"/>
        <v>SI</v>
      </c>
      <c r="E24" s="13">
        <f t="shared" si="1"/>
        <v>1</v>
      </c>
      <c r="F24" s="13">
        <f t="shared" si="2"/>
        <v>10</v>
      </c>
    </row>
    <row r="25" spans="2:6" x14ac:dyDescent="0.25">
      <c r="B25" s="16" t="s">
        <v>22</v>
      </c>
      <c r="C25" s="11">
        <v>13</v>
      </c>
      <c r="D25" s="13" t="str">
        <f t="shared" si="0"/>
        <v>NO</v>
      </c>
      <c r="E25" s="13">
        <f t="shared" si="1"/>
        <v>0</v>
      </c>
      <c r="F25" s="9" t="str">
        <f t="shared" si="2"/>
        <v/>
      </c>
    </row>
    <row r="26" spans="2:6" x14ac:dyDescent="0.25">
      <c r="B26" s="17" t="s">
        <v>23</v>
      </c>
      <c r="C26" s="11">
        <v>59</v>
      </c>
      <c r="D26" s="13" t="str">
        <f t="shared" si="0"/>
        <v>SI</v>
      </c>
      <c r="E26" s="13">
        <f t="shared" si="1"/>
        <v>1</v>
      </c>
      <c r="F26" s="13">
        <f t="shared" si="2"/>
        <v>6</v>
      </c>
    </row>
    <row r="27" spans="2:6" x14ac:dyDescent="0.25">
      <c r="B27" s="17" t="s">
        <v>24</v>
      </c>
      <c r="C27" s="11">
        <v>46</v>
      </c>
      <c r="D27" s="13" t="str">
        <f t="shared" si="0"/>
        <v>SI</v>
      </c>
      <c r="E27" s="13">
        <f t="shared" si="1"/>
        <v>1</v>
      </c>
      <c r="F27" s="13">
        <f t="shared" si="2"/>
        <v>7</v>
      </c>
    </row>
    <row r="28" spans="2:6" ht="15.75" thickBot="1" x14ac:dyDescent="0.3">
      <c r="B28" s="18" t="s">
        <v>25</v>
      </c>
      <c r="C28" s="12">
        <v>7</v>
      </c>
      <c r="D28" s="13" t="str">
        <f t="shared" si="0"/>
        <v>NO</v>
      </c>
      <c r="E28" s="13">
        <f t="shared" si="1"/>
        <v>0</v>
      </c>
      <c r="F28" s="9" t="str">
        <f t="shared" si="2"/>
        <v/>
      </c>
    </row>
  </sheetData>
  <mergeCells count="1">
    <mergeCell ref="B2:C2"/>
  </mergeCells>
  <conditionalFormatting sqref="D4:D28">
    <cfRule type="containsText" dxfId="13" priority="4" operator="containsText" text="NO">
      <formula>NOT(ISERROR(SEARCH("NO",D4)))</formula>
    </cfRule>
    <cfRule type="containsText" dxfId="12" priority="5" operator="containsText" text="SI">
      <formula>NOT(ISERROR(SEARCH("SI",D4)))</formula>
    </cfRule>
  </conditionalFormatting>
  <conditionalFormatting sqref="E4:E28">
    <cfRule type="containsText" dxfId="11" priority="2" operator="containsText" text="0">
      <formula>NOT(ISERROR(SEARCH("0",E4)))</formula>
    </cfRule>
    <cfRule type="containsText" dxfId="10" priority="3" operator="containsText" text="1">
      <formula>NOT(ISERROR(SEARCH("1",E4)))</formula>
    </cfRule>
  </conditionalFormatting>
  <conditionalFormatting sqref="F4:F28">
    <cfRule type="colorScale" priority="1">
      <colorScale>
        <cfvo type="min"/>
        <cfvo type="max"/>
        <color rgb="FF63BE7B"/>
        <color rgb="FFFCFCFF"/>
      </colorScale>
    </cfRule>
  </conditionalFormatting>
  <conditionalFormatting sqref="H3:H12">
    <cfRule type="colorScale" priority="7">
      <colorScale>
        <cfvo type="min"/>
        <cfvo type="max"/>
        <color rgb="FF63BE7B"/>
        <color rgb="FFFCFCFF"/>
      </colorScale>
    </cfRule>
  </conditionalFormatting>
  <conditionalFormatting sqref="J3:J12">
    <cfRule type="colorScale" priority="6">
      <colorScale>
        <cfvo type="min"/>
        <cfvo type="max"/>
        <color rgb="FFFCFCFF"/>
        <color rgb="FF63BE7B"/>
      </colorScale>
    </cfRule>
  </conditionalFormatting>
  <pageMargins left="0.7" right="0.7" top="0.75" bottom="0.75" header="0.3" footer="0.3"/>
  <headerFooter>
    <oddFooter>&amp;C_x000D_&amp;1#&amp;"Calibri"&amp;8&amp;K000000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4DB88-E10E-4835-856B-48C1765D0177}">
  <dimension ref="B1:J28"/>
  <sheetViews>
    <sheetView zoomScaleNormal="100" workbookViewId="0">
      <selection activeCell="C7" sqref="C7"/>
    </sheetView>
  </sheetViews>
  <sheetFormatPr defaultRowHeight="15" x14ac:dyDescent="0.25"/>
  <cols>
    <col min="2" max="2" width="47.42578125" bestFit="1" customWidth="1"/>
    <col min="9" max="9" width="47.42578125" bestFit="1" customWidth="1"/>
  </cols>
  <sheetData>
    <row r="1" spans="2:10" ht="15.75" thickBot="1" x14ac:dyDescent="0.3"/>
    <row r="2" spans="2:10" x14ac:dyDescent="0.25">
      <c r="B2" s="154" t="s">
        <v>47</v>
      </c>
      <c r="C2" s="155"/>
      <c r="D2" t="s">
        <v>39</v>
      </c>
      <c r="E2">
        <f>SUM(C4:C28) / COUNT(C4:C28)</f>
        <v>28.4</v>
      </c>
      <c r="H2" s="8" t="str" cm="1">
        <f t="array" ref="H2:J10">_xlfn.VSTACK({"Ranking","Universidad","Score"},_xlfn._xlws.SORT(_xlfn._xlws.FILTER(CHOOSE({1,2,3},F4:F28,B4:B28,C4:C28),F4:F28&lt;&gt;""),1,TRUE))</f>
        <v>Ranking</v>
      </c>
      <c r="I2" s="8" t="str">
        <v>Universidad</v>
      </c>
      <c r="J2" s="8" t="str">
        <v>Score</v>
      </c>
    </row>
    <row r="3" spans="2:10" x14ac:dyDescent="0.25">
      <c r="B3" s="14" t="s">
        <v>45</v>
      </c>
      <c r="C3" s="15" t="s">
        <v>46</v>
      </c>
      <c r="D3" t="s">
        <v>234</v>
      </c>
      <c r="E3" t="s">
        <v>29</v>
      </c>
      <c r="F3" t="s">
        <v>30</v>
      </c>
      <c r="H3">
        <v>1</v>
      </c>
      <c r="I3" t="str">
        <v>Instituto Politécnico Nacional (IPN)</v>
      </c>
      <c r="J3">
        <v>146</v>
      </c>
    </row>
    <row r="4" spans="2:10" x14ac:dyDescent="0.25">
      <c r="B4" s="16" t="s">
        <v>1</v>
      </c>
      <c r="C4" s="11">
        <v>89</v>
      </c>
      <c r="D4" t="str">
        <f>IF(C4&gt;=27, "SI", "NO")</f>
        <v>SI</v>
      </c>
      <c r="E4">
        <f>IF(D4="SI", 1, 0)</f>
        <v>1</v>
      </c>
      <c r="F4">
        <f>IF(E4=1, COUNTIFS($E$4:$E$28, 1, $C$4:$C$28, "&gt;"&amp;C4)+1, "")</f>
        <v>2</v>
      </c>
      <c r="H4">
        <v>2</v>
      </c>
      <c r="I4" t="str">
        <v>Universidad Nacional Autónoma de México (UNAM)</v>
      </c>
      <c r="J4">
        <v>89</v>
      </c>
    </row>
    <row r="5" spans="2:10" x14ac:dyDescent="0.25">
      <c r="B5" s="16" t="s">
        <v>2</v>
      </c>
      <c r="C5" s="11">
        <v>67</v>
      </c>
      <c r="D5" s="21" t="str">
        <f t="shared" ref="D5:D28" si="0">IF(C5&gt;=27, "SI", "NO")</f>
        <v>SI</v>
      </c>
      <c r="E5" s="21">
        <f t="shared" ref="E5:E28" si="1">IF(D5="SI", 1, 0)</f>
        <v>1</v>
      </c>
      <c r="F5" s="21">
        <f t="shared" ref="F5:F28" si="2">IF(E5=1, COUNTIFS($E$4:$E$28, 1, $C$4:$C$28, "&gt;"&amp;C5)+1, "")</f>
        <v>4</v>
      </c>
      <c r="H5">
        <v>3</v>
      </c>
      <c r="I5" t="str">
        <v>Universidad de Guadalajara (UDG)</v>
      </c>
      <c r="J5">
        <v>87</v>
      </c>
    </row>
    <row r="6" spans="2:10" x14ac:dyDescent="0.25">
      <c r="B6" s="16" t="s">
        <v>3</v>
      </c>
      <c r="C6" s="11">
        <v>14</v>
      </c>
      <c r="D6" s="21" t="str">
        <f t="shared" si="0"/>
        <v>NO</v>
      </c>
      <c r="E6" s="21">
        <f t="shared" si="1"/>
        <v>0</v>
      </c>
      <c r="F6" s="9" t="str">
        <f t="shared" si="2"/>
        <v/>
      </c>
      <c r="H6">
        <v>4</v>
      </c>
      <c r="I6" t="str">
        <v>Tecnológico de Monterrey (ITESM)</v>
      </c>
      <c r="J6">
        <v>67</v>
      </c>
    </row>
    <row r="7" spans="2:10" x14ac:dyDescent="0.25">
      <c r="B7" s="16" t="s">
        <v>4</v>
      </c>
      <c r="C7" s="11">
        <v>5</v>
      </c>
      <c r="D7" s="21" t="str">
        <f t="shared" si="0"/>
        <v>NO</v>
      </c>
      <c r="E7" s="21">
        <f t="shared" si="1"/>
        <v>0</v>
      </c>
      <c r="F7" s="9" t="str">
        <f t="shared" si="2"/>
        <v/>
      </c>
      <c r="H7">
        <v>4</v>
      </c>
      <c r="I7" t="str">
        <v>Universidad Autónoma de Baja California</v>
      </c>
      <c r="J7">
        <v>67</v>
      </c>
    </row>
    <row r="8" spans="2:10" x14ac:dyDescent="0.25">
      <c r="B8" s="16" t="s">
        <v>5</v>
      </c>
      <c r="C8" s="11">
        <v>146</v>
      </c>
      <c r="D8" s="21" t="str">
        <f t="shared" si="0"/>
        <v>SI</v>
      </c>
      <c r="E8" s="21">
        <f t="shared" si="1"/>
        <v>1</v>
      </c>
      <c r="F8" s="21">
        <f t="shared" si="2"/>
        <v>1</v>
      </c>
      <c r="H8">
        <v>6</v>
      </c>
      <c r="I8" t="str">
        <v>Universidad de Guanajuato</v>
      </c>
      <c r="J8">
        <v>45</v>
      </c>
    </row>
    <row r="9" spans="2:10" x14ac:dyDescent="0.25">
      <c r="B9" s="16" t="s">
        <v>6</v>
      </c>
      <c r="C9" s="11">
        <v>0</v>
      </c>
      <c r="D9" s="21" t="str">
        <f t="shared" si="0"/>
        <v>NO</v>
      </c>
      <c r="E9" s="21">
        <f t="shared" si="1"/>
        <v>0</v>
      </c>
      <c r="F9" s="9" t="str">
        <f t="shared" si="2"/>
        <v/>
      </c>
      <c r="H9">
        <v>7</v>
      </c>
      <c r="I9" t="str">
        <v>Universidad Autónoma Metropolitana (UAM)</v>
      </c>
      <c r="J9">
        <v>35</v>
      </c>
    </row>
    <row r="10" spans="2:10" x14ac:dyDescent="0.25">
      <c r="B10" s="16" t="s">
        <v>7</v>
      </c>
      <c r="C10" s="11">
        <v>0</v>
      </c>
      <c r="D10" s="21" t="str">
        <f t="shared" si="0"/>
        <v>NO</v>
      </c>
      <c r="E10" s="21">
        <f t="shared" si="1"/>
        <v>0</v>
      </c>
      <c r="F10" s="9" t="str">
        <f t="shared" si="2"/>
        <v/>
      </c>
      <c r="H10">
        <v>8</v>
      </c>
      <c r="I10" t="str">
        <v>Benemérita Universidad Autónoma de Puebla</v>
      </c>
      <c r="J10">
        <v>32</v>
      </c>
    </row>
    <row r="11" spans="2:10" x14ac:dyDescent="0.25">
      <c r="B11" s="16" t="s">
        <v>8</v>
      </c>
      <c r="C11" s="11">
        <v>2</v>
      </c>
      <c r="D11" s="21" t="str">
        <f t="shared" si="0"/>
        <v>NO</v>
      </c>
      <c r="E11" s="21">
        <f t="shared" si="1"/>
        <v>0</v>
      </c>
      <c r="F11" s="9" t="str">
        <f t="shared" si="2"/>
        <v/>
      </c>
    </row>
    <row r="12" spans="2:10" x14ac:dyDescent="0.25">
      <c r="B12" s="16" t="s">
        <v>9</v>
      </c>
      <c r="C12" s="11">
        <v>35</v>
      </c>
      <c r="D12" s="21" t="str">
        <f t="shared" si="0"/>
        <v>SI</v>
      </c>
      <c r="E12" s="21">
        <f t="shared" si="1"/>
        <v>1</v>
      </c>
      <c r="F12" s="21">
        <f t="shared" si="2"/>
        <v>7</v>
      </c>
    </row>
    <row r="13" spans="2:10" x14ac:dyDescent="0.25">
      <c r="B13" s="16" t="s">
        <v>10</v>
      </c>
      <c r="C13" s="11">
        <v>87</v>
      </c>
      <c r="D13" s="21" t="str">
        <f t="shared" si="0"/>
        <v>SI</v>
      </c>
      <c r="E13" s="21">
        <f t="shared" si="1"/>
        <v>1</v>
      </c>
      <c r="F13" s="21">
        <f t="shared" si="2"/>
        <v>3</v>
      </c>
    </row>
    <row r="14" spans="2:10" x14ac:dyDescent="0.25">
      <c r="B14" s="16" t="s">
        <v>11</v>
      </c>
      <c r="C14" s="11">
        <v>6</v>
      </c>
      <c r="D14" s="21" t="str">
        <f t="shared" si="0"/>
        <v>NO</v>
      </c>
      <c r="E14" s="21">
        <f t="shared" si="1"/>
        <v>0</v>
      </c>
      <c r="F14" s="9" t="str">
        <f t="shared" si="2"/>
        <v/>
      </c>
    </row>
    <row r="15" spans="2:10" x14ac:dyDescent="0.25">
      <c r="B15" s="16" t="s">
        <v>12</v>
      </c>
      <c r="C15" s="11">
        <v>32</v>
      </c>
      <c r="D15" s="21" t="str">
        <f t="shared" si="0"/>
        <v>SI</v>
      </c>
      <c r="E15" s="21">
        <f t="shared" si="1"/>
        <v>1</v>
      </c>
      <c r="F15" s="21">
        <f t="shared" si="2"/>
        <v>8</v>
      </c>
    </row>
    <row r="16" spans="2:10" x14ac:dyDescent="0.25">
      <c r="B16" s="16" t="s">
        <v>13</v>
      </c>
      <c r="C16" s="11">
        <v>1</v>
      </c>
      <c r="D16" s="21" t="str">
        <f t="shared" si="0"/>
        <v>NO</v>
      </c>
      <c r="E16" s="21">
        <f t="shared" si="1"/>
        <v>0</v>
      </c>
      <c r="F16" s="9" t="str">
        <f t="shared" si="2"/>
        <v/>
      </c>
    </row>
    <row r="17" spans="2:6" x14ac:dyDescent="0.25">
      <c r="B17" s="16" t="s">
        <v>14</v>
      </c>
      <c r="C17" s="11">
        <v>5</v>
      </c>
      <c r="D17" s="21" t="str">
        <f t="shared" si="0"/>
        <v>NO</v>
      </c>
      <c r="E17" s="21">
        <f t="shared" si="1"/>
        <v>0</v>
      </c>
      <c r="F17" s="9" t="str">
        <f t="shared" si="2"/>
        <v/>
      </c>
    </row>
    <row r="18" spans="2:6" x14ac:dyDescent="0.25">
      <c r="B18" s="16" t="s">
        <v>15</v>
      </c>
      <c r="C18" s="11">
        <v>23</v>
      </c>
      <c r="D18" s="21" t="str">
        <f t="shared" si="0"/>
        <v>NO</v>
      </c>
      <c r="E18" s="21">
        <f t="shared" si="1"/>
        <v>0</v>
      </c>
      <c r="F18" s="9" t="str">
        <f t="shared" si="2"/>
        <v/>
      </c>
    </row>
    <row r="19" spans="2:6" x14ac:dyDescent="0.25">
      <c r="B19" s="16" t="s">
        <v>16</v>
      </c>
      <c r="C19" s="11">
        <v>20</v>
      </c>
      <c r="D19" s="21" t="str">
        <f t="shared" si="0"/>
        <v>NO</v>
      </c>
      <c r="E19" s="21">
        <f t="shared" si="1"/>
        <v>0</v>
      </c>
      <c r="F19" s="9" t="str">
        <f t="shared" si="2"/>
        <v/>
      </c>
    </row>
    <row r="20" spans="2:6" x14ac:dyDescent="0.25">
      <c r="B20" s="16" t="s">
        <v>17</v>
      </c>
      <c r="C20" s="11">
        <v>21</v>
      </c>
      <c r="D20" s="21" t="str">
        <f t="shared" si="0"/>
        <v>NO</v>
      </c>
      <c r="E20" s="21">
        <f t="shared" si="1"/>
        <v>0</v>
      </c>
      <c r="F20" s="9" t="str">
        <f t="shared" si="2"/>
        <v/>
      </c>
    </row>
    <row r="21" spans="2:6" x14ac:dyDescent="0.25">
      <c r="B21" s="16" t="s">
        <v>18</v>
      </c>
      <c r="C21" s="11">
        <v>2</v>
      </c>
      <c r="D21" s="21" t="str">
        <f t="shared" si="0"/>
        <v>NO</v>
      </c>
      <c r="E21" s="21">
        <f t="shared" si="1"/>
        <v>0</v>
      </c>
      <c r="F21" s="9" t="str">
        <f t="shared" si="2"/>
        <v/>
      </c>
    </row>
    <row r="22" spans="2:6" x14ac:dyDescent="0.25">
      <c r="B22" s="16" t="s">
        <v>19</v>
      </c>
      <c r="C22" s="11">
        <v>14</v>
      </c>
      <c r="D22" s="21" t="str">
        <f t="shared" si="0"/>
        <v>NO</v>
      </c>
      <c r="E22" s="21">
        <f t="shared" si="1"/>
        <v>0</v>
      </c>
      <c r="F22" s="9" t="str">
        <f t="shared" si="2"/>
        <v/>
      </c>
    </row>
    <row r="23" spans="2:6" x14ac:dyDescent="0.25">
      <c r="B23" s="16" t="s">
        <v>20</v>
      </c>
      <c r="C23" s="11">
        <v>67</v>
      </c>
      <c r="D23" s="21" t="str">
        <f t="shared" si="0"/>
        <v>SI</v>
      </c>
      <c r="E23" s="21">
        <f t="shared" si="1"/>
        <v>1</v>
      </c>
      <c r="F23" s="21">
        <f t="shared" si="2"/>
        <v>4</v>
      </c>
    </row>
    <row r="24" spans="2:6" x14ac:dyDescent="0.25">
      <c r="B24" s="16" t="s">
        <v>21</v>
      </c>
      <c r="C24" s="11">
        <v>45</v>
      </c>
      <c r="D24" s="21" t="str">
        <f t="shared" si="0"/>
        <v>SI</v>
      </c>
      <c r="E24" s="21">
        <f t="shared" si="1"/>
        <v>1</v>
      </c>
      <c r="F24" s="21">
        <f t="shared" si="2"/>
        <v>6</v>
      </c>
    </row>
    <row r="25" spans="2:6" x14ac:dyDescent="0.25">
      <c r="B25" s="16" t="s">
        <v>22</v>
      </c>
      <c r="C25" s="11">
        <v>2</v>
      </c>
      <c r="D25" s="21" t="str">
        <f t="shared" si="0"/>
        <v>NO</v>
      </c>
      <c r="E25" s="21">
        <f t="shared" si="1"/>
        <v>0</v>
      </c>
      <c r="F25" s="9" t="str">
        <f t="shared" si="2"/>
        <v/>
      </c>
    </row>
    <row r="26" spans="2:6" x14ac:dyDescent="0.25">
      <c r="B26" s="17" t="s">
        <v>23</v>
      </c>
      <c r="C26" s="120">
        <v>21</v>
      </c>
      <c r="D26" s="21" t="str">
        <f t="shared" si="0"/>
        <v>NO</v>
      </c>
      <c r="E26" s="21">
        <f t="shared" si="1"/>
        <v>0</v>
      </c>
      <c r="F26" s="9" t="str">
        <f t="shared" si="2"/>
        <v/>
      </c>
    </row>
    <row r="27" spans="2:6" x14ac:dyDescent="0.25">
      <c r="B27" s="17" t="s">
        <v>24</v>
      </c>
      <c r="C27" s="11">
        <v>0</v>
      </c>
      <c r="D27" s="21" t="str">
        <f t="shared" si="0"/>
        <v>NO</v>
      </c>
      <c r="E27" s="21">
        <f t="shared" si="1"/>
        <v>0</v>
      </c>
      <c r="F27" s="9" t="str">
        <f t="shared" si="2"/>
        <v/>
      </c>
    </row>
    <row r="28" spans="2:6" ht="15.75" thickBot="1" x14ac:dyDescent="0.3">
      <c r="B28" s="18" t="s">
        <v>25</v>
      </c>
      <c r="C28" s="12">
        <v>6</v>
      </c>
      <c r="D28" s="21" t="str">
        <f t="shared" si="0"/>
        <v>NO</v>
      </c>
      <c r="E28" s="21">
        <f t="shared" si="1"/>
        <v>0</v>
      </c>
      <c r="F28" s="9" t="str">
        <f t="shared" si="2"/>
        <v/>
      </c>
    </row>
  </sheetData>
  <mergeCells count="1">
    <mergeCell ref="B2:C2"/>
  </mergeCells>
  <conditionalFormatting sqref="D4:D28">
    <cfRule type="containsText" dxfId="9" priority="6" operator="containsText" text="NO">
      <formula>NOT(ISERROR(SEARCH("NO",D4)))</formula>
    </cfRule>
    <cfRule type="containsText" dxfId="8" priority="7" operator="containsText" text="SI">
      <formula>NOT(ISERROR(SEARCH("SI",D4)))</formula>
    </cfRule>
  </conditionalFormatting>
  <conditionalFormatting sqref="E4:E28">
    <cfRule type="containsText" dxfId="7" priority="4" operator="containsText" text="0">
      <formula>NOT(ISERROR(SEARCH("0",E4)))</formula>
    </cfRule>
    <cfRule type="containsText" dxfId="6" priority="5" operator="containsText" text="1">
      <formula>NOT(ISERROR(SEARCH("1",E4)))</formula>
    </cfRule>
  </conditionalFormatting>
  <conditionalFormatting sqref="F4:F28">
    <cfRule type="colorScale" priority="3">
      <colorScale>
        <cfvo type="min"/>
        <cfvo type="max"/>
        <color rgb="FF63BE7B"/>
        <color rgb="FFFCFCFF"/>
      </colorScale>
    </cfRule>
  </conditionalFormatting>
  <conditionalFormatting sqref="H3:H10">
    <cfRule type="colorScale" priority="2">
      <colorScale>
        <cfvo type="min"/>
        <cfvo type="max"/>
        <color rgb="FF63BE7B"/>
        <color rgb="FFFCFCFF"/>
      </colorScale>
    </cfRule>
  </conditionalFormatting>
  <conditionalFormatting sqref="J3:J10">
    <cfRule type="colorScale" priority="1">
      <colorScale>
        <cfvo type="min"/>
        <cfvo type="max"/>
        <color rgb="FFFCFCFF"/>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65BDD-5FFA-4A83-ADF2-E6C6E5524891}">
  <dimension ref="B1:F53"/>
  <sheetViews>
    <sheetView zoomScaleNormal="100" workbookViewId="0">
      <selection activeCell="D12" sqref="D12"/>
    </sheetView>
  </sheetViews>
  <sheetFormatPr defaultRowHeight="15" x14ac:dyDescent="0.25"/>
  <cols>
    <col min="2" max="2" width="29" bestFit="1" customWidth="1"/>
    <col min="4" max="4" width="59.28515625" bestFit="1" customWidth="1"/>
    <col min="6" max="6" width="115.28515625" bestFit="1" customWidth="1"/>
  </cols>
  <sheetData>
    <row r="1" spans="2:6" ht="15.75" thickBot="1" x14ac:dyDescent="0.3"/>
    <row r="2" spans="2:6" ht="24.75" thickBot="1" x14ac:dyDescent="0.45">
      <c r="B2" s="156" t="s">
        <v>91</v>
      </c>
      <c r="C2" s="157"/>
      <c r="D2" s="157"/>
      <c r="E2" s="157"/>
      <c r="F2" s="158"/>
    </row>
    <row r="3" spans="2:6" ht="15.75" thickBot="1" x14ac:dyDescent="0.3">
      <c r="B3" s="21"/>
      <c r="C3" s="21"/>
      <c r="D3" s="21"/>
      <c r="E3" s="21"/>
      <c r="F3" s="21"/>
    </row>
    <row r="4" spans="2:6" x14ac:dyDescent="0.25">
      <c r="B4" s="94" t="s">
        <v>92</v>
      </c>
      <c r="C4" s="21"/>
      <c r="D4" s="94" t="s">
        <v>93</v>
      </c>
      <c r="E4" s="21"/>
      <c r="F4" s="94" t="s">
        <v>94</v>
      </c>
    </row>
    <row r="5" spans="2:6" ht="15.75" thickBot="1" x14ac:dyDescent="0.3">
      <c r="B5" s="95" t="s">
        <v>95</v>
      </c>
      <c r="C5" s="21"/>
      <c r="D5" s="96" t="s">
        <v>96</v>
      </c>
      <c r="E5" s="21"/>
      <c r="F5" s="97" t="s">
        <v>97</v>
      </c>
    </row>
    <row r="6" spans="2:6" ht="15.75" thickBot="1" x14ac:dyDescent="0.3">
      <c r="B6" s="21"/>
      <c r="C6" s="21"/>
      <c r="D6" s="98" t="s">
        <v>98</v>
      </c>
      <c r="E6" s="21"/>
      <c r="F6" s="97" t="s">
        <v>99</v>
      </c>
    </row>
    <row r="7" spans="2:6" ht="15.75" thickBot="1" x14ac:dyDescent="0.3">
      <c r="B7" s="94" t="s">
        <v>100</v>
      </c>
      <c r="C7" s="21"/>
      <c r="D7" s="21"/>
      <c r="E7" s="21"/>
      <c r="F7" s="97" t="s">
        <v>101</v>
      </c>
    </row>
    <row r="8" spans="2:6" x14ac:dyDescent="0.25">
      <c r="B8" s="96" t="s">
        <v>102</v>
      </c>
      <c r="C8" s="21"/>
      <c r="D8" s="94" t="s">
        <v>103</v>
      </c>
      <c r="E8" s="21"/>
      <c r="F8" s="97" t="s">
        <v>104</v>
      </c>
    </row>
    <row r="9" spans="2:6" x14ac:dyDescent="0.25">
      <c r="B9" s="96" t="s">
        <v>105</v>
      </c>
      <c r="C9" s="21"/>
      <c r="D9" s="97" t="s">
        <v>106</v>
      </c>
      <c r="E9" s="21"/>
      <c r="F9" s="96" t="s">
        <v>107</v>
      </c>
    </row>
    <row r="10" spans="2:6" x14ac:dyDescent="0.25">
      <c r="B10" s="96" t="s">
        <v>108</v>
      </c>
      <c r="C10" s="21"/>
      <c r="D10" s="96" t="s">
        <v>109</v>
      </c>
      <c r="E10" s="21"/>
      <c r="F10" s="97" t="s">
        <v>110</v>
      </c>
    </row>
    <row r="11" spans="2:6" x14ac:dyDescent="0.25">
      <c r="B11" s="96" t="s">
        <v>111</v>
      </c>
      <c r="C11" s="21"/>
      <c r="D11" s="96" t="s">
        <v>112</v>
      </c>
      <c r="E11" s="21"/>
      <c r="F11" s="97" t="s">
        <v>113</v>
      </c>
    </row>
    <row r="12" spans="2:6" x14ac:dyDescent="0.25">
      <c r="B12" s="96" t="s">
        <v>114</v>
      </c>
      <c r="C12" s="21"/>
      <c r="D12" s="96" t="s">
        <v>115</v>
      </c>
      <c r="E12" s="21"/>
      <c r="F12" s="96" t="s">
        <v>116</v>
      </c>
    </row>
    <row r="13" spans="2:6" x14ac:dyDescent="0.25">
      <c r="B13" s="96" t="s">
        <v>117</v>
      </c>
      <c r="C13" s="21"/>
      <c r="D13" s="96" t="s">
        <v>118</v>
      </c>
      <c r="E13" s="21"/>
      <c r="F13" s="97" t="s">
        <v>119</v>
      </c>
    </row>
    <row r="14" spans="2:6" ht="15.75" thickBot="1" x14ac:dyDescent="0.3">
      <c r="B14" s="96" t="s">
        <v>120</v>
      </c>
      <c r="C14" s="21"/>
      <c r="D14" s="96" t="s">
        <v>121</v>
      </c>
      <c r="E14" s="21"/>
      <c r="F14" s="98" t="s">
        <v>122</v>
      </c>
    </row>
    <row r="15" spans="2:6" ht="15.75" thickBot="1" x14ac:dyDescent="0.3">
      <c r="B15" s="96" t="s">
        <v>123</v>
      </c>
      <c r="C15" s="21"/>
      <c r="D15" s="96" t="s">
        <v>124</v>
      </c>
      <c r="E15" s="21"/>
      <c r="F15" s="21"/>
    </row>
    <row r="16" spans="2:6" ht="15.75" thickBot="1" x14ac:dyDescent="0.3">
      <c r="B16" s="96" t="s">
        <v>125</v>
      </c>
      <c r="C16" s="21"/>
      <c r="D16" s="98" t="s">
        <v>126</v>
      </c>
      <c r="E16" s="21"/>
      <c r="F16" s="99" t="s">
        <v>127</v>
      </c>
    </row>
    <row r="17" spans="2:6" ht="15.75" thickBot="1" x14ac:dyDescent="0.3">
      <c r="B17" s="96" t="s">
        <v>128</v>
      </c>
      <c r="C17" s="21"/>
      <c r="D17" s="21"/>
      <c r="E17" s="21"/>
      <c r="F17" s="97" t="s">
        <v>129</v>
      </c>
    </row>
    <row r="18" spans="2:6" x14ac:dyDescent="0.25">
      <c r="B18" s="96" t="s">
        <v>130</v>
      </c>
      <c r="C18" s="21"/>
      <c r="D18" s="99" t="s">
        <v>131</v>
      </c>
      <c r="E18" s="21"/>
      <c r="F18" s="97" t="s">
        <v>132</v>
      </c>
    </row>
    <row r="19" spans="2:6" x14ac:dyDescent="0.25">
      <c r="B19" s="96" t="s">
        <v>133</v>
      </c>
      <c r="C19" s="21"/>
      <c r="D19" s="96" t="s">
        <v>134</v>
      </c>
      <c r="E19" s="21"/>
      <c r="F19" s="96" t="s">
        <v>135</v>
      </c>
    </row>
    <row r="20" spans="2:6" ht="15.75" thickBot="1" x14ac:dyDescent="0.3">
      <c r="B20" s="96" t="s">
        <v>136</v>
      </c>
      <c r="C20" s="21"/>
      <c r="D20" s="98" t="s">
        <v>137</v>
      </c>
      <c r="E20" s="21"/>
      <c r="F20" s="96" t="s">
        <v>138</v>
      </c>
    </row>
    <row r="21" spans="2:6" ht="15.75" thickBot="1" x14ac:dyDescent="0.3">
      <c r="B21" s="96" t="s">
        <v>139</v>
      </c>
      <c r="C21" s="21"/>
      <c r="D21" s="21"/>
      <c r="E21" s="21"/>
      <c r="F21" s="96" t="s">
        <v>140</v>
      </c>
    </row>
    <row r="22" spans="2:6" x14ac:dyDescent="0.25">
      <c r="B22" s="96" t="s">
        <v>141</v>
      </c>
      <c r="C22" s="21"/>
      <c r="D22" s="99" t="s">
        <v>142</v>
      </c>
      <c r="E22" s="21"/>
      <c r="F22" s="96" t="s">
        <v>143</v>
      </c>
    </row>
    <row r="23" spans="2:6" x14ac:dyDescent="0.25">
      <c r="B23" s="96" t="s">
        <v>144</v>
      </c>
      <c r="C23" s="21"/>
      <c r="D23" s="96" t="s">
        <v>145</v>
      </c>
      <c r="E23" s="21"/>
      <c r="F23" s="96" t="s">
        <v>146</v>
      </c>
    </row>
    <row r="24" spans="2:6" ht="15.75" thickBot="1" x14ac:dyDescent="0.3">
      <c r="B24" s="96" t="s">
        <v>147</v>
      </c>
      <c r="C24" s="21"/>
      <c r="D24" s="96" t="s">
        <v>148</v>
      </c>
      <c r="E24" s="21"/>
      <c r="F24" s="98" t="s">
        <v>149</v>
      </c>
    </row>
    <row r="25" spans="2:6" ht="15.75" thickBot="1" x14ac:dyDescent="0.3">
      <c r="B25" s="96" t="s">
        <v>150</v>
      </c>
      <c r="C25" s="21"/>
      <c r="D25" s="96" t="s">
        <v>151</v>
      </c>
      <c r="E25" s="21"/>
      <c r="F25" s="21"/>
    </row>
    <row r="26" spans="2:6" x14ac:dyDescent="0.25">
      <c r="B26" s="96" t="s">
        <v>152</v>
      </c>
      <c r="C26" s="21"/>
      <c r="D26" s="96" t="s">
        <v>153</v>
      </c>
      <c r="E26" s="21"/>
      <c r="F26" s="94" t="s">
        <v>154</v>
      </c>
    </row>
    <row r="27" spans="2:6" ht="15.75" thickBot="1" x14ac:dyDescent="0.3">
      <c r="B27" s="96" t="s">
        <v>155</v>
      </c>
      <c r="C27" s="21"/>
      <c r="D27" s="98" t="s">
        <v>156</v>
      </c>
      <c r="E27" s="21"/>
      <c r="F27" s="96" t="s">
        <v>157</v>
      </c>
    </row>
    <row r="28" spans="2:6" ht="15.75" thickBot="1" x14ac:dyDescent="0.3">
      <c r="B28" s="96" t="s">
        <v>158</v>
      </c>
      <c r="C28" s="21"/>
      <c r="D28" s="21"/>
      <c r="E28" s="21"/>
      <c r="F28" s="48" t="s">
        <v>159</v>
      </c>
    </row>
    <row r="29" spans="2:6" x14ac:dyDescent="0.25">
      <c r="B29" s="96" t="s">
        <v>160</v>
      </c>
      <c r="C29" s="21"/>
      <c r="D29" s="99" t="s">
        <v>161</v>
      </c>
      <c r="E29" s="21"/>
      <c r="F29" s="96" t="s">
        <v>162</v>
      </c>
    </row>
    <row r="30" spans="2:6" x14ac:dyDescent="0.25">
      <c r="B30" s="96" t="s">
        <v>163</v>
      </c>
      <c r="C30" s="21"/>
      <c r="D30" s="96" t="s">
        <v>164</v>
      </c>
      <c r="E30" s="21"/>
      <c r="F30" s="96" t="s">
        <v>165</v>
      </c>
    </row>
    <row r="31" spans="2:6" x14ac:dyDescent="0.25">
      <c r="B31" s="96" t="s">
        <v>166</v>
      </c>
      <c r="C31" s="21"/>
      <c r="D31" s="96" t="s">
        <v>167</v>
      </c>
      <c r="E31" s="21"/>
      <c r="F31" s="96" t="s">
        <v>168</v>
      </c>
    </row>
    <row r="32" spans="2:6" ht="15.75" thickBot="1" x14ac:dyDescent="0.3">
      <c r="B32" s="98" t="s">
        <v>169</v>
      </c>
      <c r="C32" s="21"/>
      <c r="D32" s="98" t="s">
        <v>170</v>
      </c>
      <c r="E32" s="21"/>
      <c r="F32" s="96" t="s">
        <v>171</v>
      </c>
    </row>
    <row r="33" spans="2:6" x14ac:dyDescent="0.25">
      <c r="B33" s="21"/>
      <c r="C33" s="21"/>
      <c r="D33" s="21"/>
      <c r="E33" s="21"/>
      <c r="F33" s="48" t="s">
        <v>172</v>
      </c>
    </row>
    <row r="34" spans="2:6" x14ac:dyDescent="0.25">
      <c r="B34" s="21"/>
      <c r="C34" s="21"/>
      <c r="D34" s="21"/>
      <c r="E34" s="21"/>
      <c r="F34" s="96" t="s">
        <v>173</v>
      </c>
    </row>
    <row r="35" spans="2:6" x14ac:dyDescent="0.25">
      <c r="B35" s="21"/>
      <c r="C35" s="21"/>
      <c r="D35" s="21"/>
      <c r="E35" s="21"/>
      <c r="F35" s="97" t="s">
        <v>174</v>
      </c>
    </row>
    <row r="36" spans="2:6" x14ac:dyDescent="0.25">
      <c r="B36" s="21"/>
      <c r="C36" s="21"/>
      <c r="D36" s="21"/>
      <c r="E36" s="21"/>
      <c r="F36" s="97" t="s">
        <v>175</v>
      </c>
    </row>
    <row r="37" spans="2:6" x14ac:dyDescent="0.25">
      <c r="B37" s="21"/>
      <c r="C37" s="21"/>
      <c r="D37" s="21"/>
      <c r="E37" s="21"/>
      <c r="F37" s="48" t="s">
        <v>176</v>
      </c>
    </row>
    <row r="38" spans="2:6" x14ac:dyDescent="0.25">
      <c r="B38" s="21"/>
      <c r="C38" s="21"/>
      <c r="D38" s="21"/>
      <c r="E38" s="21"/>
      <c r="F38" s="97" t="s">
        <v>177</v>
      </c>
    </row>
    <row r="39" spans="2:6" x14ac:dyDescent="0.25">
      <c r="B39" s="21"/>
      <c r="C39" s="21"/>
      <c r="D39" s="21"/>
      <c r="E39" s="21"/>
      <c r="F39" s="96" t="s">
        <v>178</v>
      </c>
    </row>
    <row r="40" spans="2:6" x14ac:dyDescent="0.25">
      <c r="B40" s="21"/>
      <c r="C40" s="21"/>
      <c r="D40" s="21"/>
      <c r="E40" s="21"/>
      <c r="F40" s="96" t="s">
        <v>179</v>
      </c>
    </row>
    <row r="41" spans="2:6" x14ac:dyDescent="0.25">
      <c r="B41" s="21"/>
      <c r="C41" s="21"/>
      <c r="D41" s="21"/>
      <c r="E41" s="21"/>
      <c r="F41" s="96" t="s">
        <v>180</v>
      </c>
    </row>
    <row r="42" spans="2:6" x14ac:dyDescent="0.25">
      <c r="B42" s="21"/>
      <c r="C42" s="21"/>
      <c r="D42" s="21"/>
      <c r="E42" s="21"/>
      <c r="F42" s="100" t="s">
        <v>181</v>
      </c>
    </row>
    <row r="43" spans="2:6" x14ac:dyDescent="0.25">
      <c r="B43" s="21"/>
      <c r="C43" s="21"/>
      <c r="D43" s="21"/>
      <c r="E43" s="21"/>
      <c r="F43" s="96" t="s">
        <v>182</v>
      </c>
    </row>
    <row r="44" spans="2:6" x14ac:dyDescent="0.25">
      <c r="B44" s="21"/>
      <c r="C44" s="21"/>
      <c r="D44" s="21"/>
      <c r="E44" s="21"/>
      <c r="F44" s="48" t="s">
        <v>183</v>
      </c>
    </row>
    <row r="45" spans="2:6" x14ac:dyDescent="0.25">
      <c r="B45" s="21"/>
      <c r="C45" s="21"/>
      <c r="D45" s="21"/>
      <c r="E45" s="21"/>
      <c r="F45" s="96" t="s">
        <v>184</v>
      </c>
    </row>
    <row r="46" spans="2:6" x14ac:dyDescent="0.25">
      <c r="B46" s="21"/>
      <c r="C46" s="21"/>
      <c r="D46" s="21"/>
      <c r="E46" s="21"/>
      <c r="F46" s="96" t="s">
        <v>185</v>
      </c>
    </row>
    <row r="47" spans="2:6" x14ac:dyDescent="0.25">
      <c r="B47" s="21"/>
      <c r="C47" s="21"/>
      <c r="D47" s="21"/>
      <c r="E47" s="21"/>
      <c r="F47" s="96" t="s">
        <v>186</v>
      </c>
    </row>
    <row r="48" spans="2:6" x14ac:dyDescent="0.25">
      <c r="B48" s="21"/>
      <c r="C48" s="21"/>
      <c r="D48" s="21"/>
      <c r="E48" s="21"/>
      <c r="F48" s="96" t="s">
        <v>187</v>
      </c>
    </row>
    <row r="49" spans="2:6" x14ac:dyDescent="0.25">
      <c r="B49" s="21"/>
      <c r="C49" s="21"/>
      <c r="D49" s="21"/>
      <c r="E49" s="21"/>
      <c r="F49" s="96" t="s">
        <v>188</v>
      </c>
    </row>
    <row r="50" spans="2:6" x14ac:dyDescent="0.25">
      <c r="B50" s="21"/>
      <c r="C50" s="21"/>
      <c r="D50" s="21"/>
      <c r="E50" s="21"/>
      <c r="F50" s="96" t="s">
        <v>189</v>
      </c>
    </row>
    <row r="51" spans="2:6" x14ac:dyDescent="0.25">
      <c r="B51" s="21"/>
      <c r="C51" s="21"/>
      <c r="D51" s="21"/>
      <c r="E51" s="21"/>
      <c r="F51" s="97" t="s">
        <v>190</v>
      </c>
    </row>
    <row r="52" spans="2:6" x14ac:dyDescent="0.25">
      <c r="B52" s="21"/>
      <c r="C52" s="21"/>
      <c r="D52" s="21"/>
      <c r="E52" s="21"/>
      <c r="F52" s="96" t="s">
        <v>191</v>
      </c>
    </row>
    <row r="53" spans="2:6" ht="15.75" thickBot="1" x14ac:dyDescent="0.3">
      <c r="B53" s="21"/>
      <c r="C53" s="21"/>
      <c r="D53" s="21"/>
      <c r="E53" s="21"/>
      <c r="F53" s="98" t="s">
        <v>192</v>
      </c>
    </row>
  </sheetData>
  <mergeCells count="1">
    <mergeCell ref="B2:F2"/>
  </mergeCells>
  <pageMargins left="0.7" right="0.7" top="0.75" bottom="0.75" header="0.3" footer="0.3"/>
  <headerFooter>
    <oddFooter>&amp;C_x000D_&amp;1#&amp;"Calibri"&amp;8&amp;K000000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BD826-89BB-4F8C-AD9B-E9FCF247AA11}">
  <dimension ref="B1:I18"/>
  <sheetViews>
    <sheetView topLeftCell="A5" zoomScale="85" zoomScaleNormal="85" workbookViewId="0">
      <selection activeCell="M6" sqref="M6"/>
    </sheetView>
  </sheetViews>
  <sheetFormatPr defaultRowHeight="15" x14ac:dyDescent="0.25"/>
  <cols>
    <col min="3" max="3" width="39.5703125" customWidth="1"/>
    <col min="4" max="4" width="79.140625" customWidth="1"/>
    <col min="7" max="7" width="46.28515625" customWidth="1"/>
    <col min="9" max="9" width="62.140625" customWidth="1"/>
  </cols>
  <sheetData>
    <row r="1" spans="2:9" x14ac:dyDescent="0.25">
      <c r="B1" s="101"/>
      <c r="C1" s="159" t="s">
        <v>193</v>
      </c>
      <c r="D1" s="160"/>
      <c r="G1" s="170" t="s">
        <v>233</v>
      </c>
    </row>
    <row r="2" spans="2:9" ht="16.5" thickBot="1" x14ac:dyDescent="0.3">
      <c r="B2" s="101"/>
      <c r="C2" s="161"/>
      <c r="D2" s="162"/>
      <c r="G2" s="171"/>
      <c r="I2" s="118" t="s">
        <v>222</v>
      </c>
    </row>
    <row r="3" spans="2:9" ht="18.75" x14ac:dyDescent="0.3">
      <c r="B3" s="102"/>
      <c r="C3" s="103" t="s">
        <v>194</v>
      </c>
      <c r="D3" s="104" t="s">
        <v>195</v>
      </c>
      <c r="G3" s="171"/>
      <c r="I3" s="169" t="s">
        <v>223</v>
      </c>
    </row>
    <row r="4" spans="2:9" ht="18.75" x14ac:dyDescent="0.25">
      <c r="B4" s="163" t="s">
        <v>196</v>
      </c>
      <c r="C4" s="164"/>
      <c r="D4" s="165"/>
      <c r="G4" s="171"/>
      <c r="I4" s="169"/>
    </row>
    <row r="5" spans="2:9" ht="60" x14ac:dyDescent="0.25">
      <c r="B5" s="105" t="s">
        <v>197</v>
      </c>
      <c r="C5" s="106" t="s">
        <v>198</v>
      </c>
      <c r="D5" s="107" t="s">
        <v>226</v>
      </c>
      <c r="G5" s="171"/>
      <c r="I5" s="169"/>
    </row>
    <row r="6" spans="2:9" ht="60" x14ac:dyDescent="0.25">
      <c r="B6" s="105" t="s">
        <v>199</v>
      </c>
      <c r="C6" s="106" t="s">
        <v>200</v>
      </c>
      <c r="D6" s="107" t="s">
        <v>227</v>
      </c>
      <c r="G6" s="171"/>
      <c r="I6" s="169"/>
    </row>
    <row r="7" spans="2:9" ht="75" x14ac:dyDescent="0.25">
      <c r="B7" s="105" t="s">
        <v>201</v>
      </c>
      <c r="C7" s="106" t="s">
        <v>202</v>
      </c>
      <c r="D7" s="107" t="s">
        <v>203</v>
      </c>
      <c r="G7" s="171"/>
      <c r="I7" s="169"/>
    </row>
    <row r="8" spans="2:9" ht="121.5" customHeight="1" x14ac:dyDescent="0.25">
      <c r="B8" s="105" t="s">
        <v>204</v>
      </c>
      <c r="C8" s="106" t="s">
        <v>205</v>
      </c>
      <c r="D8" s="107" t="s">
        <v>206</v>
      </c>
      <c r="G8" s="171"/>
      <c r="I8" s="169"/>
    </row>
    <row r="9" spans="2:9" ht="24.75" customHeight="1" x14ac:dyDescent="0.25">
      <c r="B9" s="108"/>
      <c r="C9" s="109"/>
      <c r="D9" s="110"/>
      <c r="G9" s="171"/>
      <c r="I9" s="56"/>
    </row>
    <row r="10" spans="2:9" ht="18.75" x14ac:dyDescent="0.25">
      <c r="B10" s="166" t="s">
        <v>207</v>
      </c>
      <c r="C10" s="167"/>
      <c r="D10" s="168"/>
      <c r="G10" s="171"/>
      <c r="I10" s="118" t="s">
        <v>224</v>
      </c>
    </row>
    <row r="11" spans="2:9" ht="127.5" customHeight="1" x14ac:dyDescent="0.25">
      <c r="B11" s="111" t="s">
        <v>208</v>
      </c>
      <c r="C11" s="106" t="s">
        <v>209</v>
      </c>
      <c r="D11" s="107" t="s">
        <v>228</v>
      </c>
      <c r="G11" s="171"/>
      <c r="I11" s="56"/>
    </row>
    <row r="12" spans="2:9" ht="90" x14ac:dyDescent="0.25">
      <c r="B12" s="111" t="s">
        <v>210</v>
      </c>
      <c r="C12" s="106" t="s">
        <v>211</v>
      </c>
      <c r="D12" s="107" t="s">
        <v>229</v>
      </c>
      <c r="G12" s="171"/>
      <c r="I12" s="119" t="s">
        <v>225</v>
      </c>
    </row>
    <row r="13" spans="2:9" ht="105" x14ac:dyDescent="0.25">
      <c r="B13" s="105" t="s">
        <v>212</v>
      </c>
      <c r="C13" s="106" t="s">
        <v>213</v>
      </c>
      <c r="D13" s="107" t="s">
        <v>230</v>
      </c>
    </row>
    <row r="14" spans="2:9" ht="75" x14ac:dyDescent="0.25">
      <c r="B14" s="105" t="s">
        <v>214</v>
      </c>
      <c r="C14" s="106" t="s">
        <v>215</v>
      </c>
      <c r="D14" s="107" t="s">
        <v>231</v>
      </c>
    </row>
    <row r="15" spans="2:9" ht="75.75" thickBot="1" x14ac:dyDescent="0.3">
      <c r="B15" s="112" t="s">
        <v>216</v>
      </c>
      <c r="C15" s="113" t="s">
        <v>217</v>
      </c>
      <c r="D15" s="114" t="s">
        <v>218</v>
      </c>
    </row>
    <row r="16" spans="2:9" x14ac:dyDescent="0.25">
      <c r="B16" s="115"/>
      <c r="C16" s="116"/>
      <c r="D16" s="117"/>
    </row>
    <row r="17" spans="2:4" ht="18.75" x14ac:dyDescent="0.25">
      <c r="B17" s="166" t="s">
        <v>219</v>
      </c>
      <c r="C17" s="167"/>
      <c r="D17" s="168"/>
    </row>
    <row r="18" spans="2:4" ht="90.75" thickBot="1" x14ac:dyDescent="0.3">
      <c r="B18" s="112" t="s">
        <v>220</v>
      </c>
      <c r="C18" s="113" t="s">
        <v>221</v>
      </c>
      <c r="D18" s="114" t="s">
        <v>232</v>
      </c>
    </row>
  </sheetData>
  <mergeCells count="6">
    <mergeCell ref="C1:D2"/>
    <mergeCell ref="B4:D4"/>
    <mergeCell ref="B10:D10"/>
    <mergeCell ref="B17:D17"/>
    <mergeCell ref="I3:I8"/>
    <mergeCell ref="G1:G12"/>
  </mergeCells>
  <pageMargins left="0.7" right="0.7" top="0.75" bottom="0.75" header="0.3" footer="0.3"/>
  <headerFooter>
    <oddFooter>&amp;C_x000D_&amp;1#&amp;"Calibri"&amp;8&amp;K000000 Internal</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B5CD6-6B65-460C-8380-C84AABEA68A6}">
  <dimension ref="A1:AI81"/>
  <sheetViews>
    <sheetView tabSelected="1" topLeftCell="A36" zoomScale="85" zoomScaleNormal="85" workbookViewId="0">
      <selection activeCell="K48" sqref="K48"/>
    </sheetView>
  </sheetViews>
  <sheetFormatPr defaultRowHeight="15" x14ac:dyDescent="0.25"/>
  <cols>
    <col min="1" max="1" width="8.140625" style="49" bestFit="1" customWidth="1"/>
    <col min="2" max="2" width="47.42578125" bestFit="1" customWidth="1"/>
    <col min="3" max="3" width="10.28515625" bestFit="1" customWidth="1"/>
    <col min="4" max="4" width="12.28515625" bestFit="1" customWidth="1"/>
    <col min="5" max="5" width="8.140625" bestFit="1" customWidth="1"/>
    <col min="6" max="6" width="10.42578125" customWidth="1"/>
    <col min="7" max="7" width="6.42578125" bestFit="1" customWidth="1"/>
    <col min="8" max="8" width="8.140625" bestFit="1" customWidth="1"/>
    <col min="9" max="9" width="10" customWidth="1"/>
    <col min="10" max="10" width="6.42578125" bestFit="1" customWidth="1"/>
    <col min="11" max="11" width="8.140625" bestFit="1" customWidth="1"/>
    <col min="12" max="12" width="9.7109375" customWidth="1"/>
    <col min="13" max="13" width="8.140625" customWidth="1"/>
    <col min="14" max="14" width="8.140625" bestFit="1" customWidth="1"/>
    <col min="15" max="15" width="11" customWidth="1"/>
    <col min="16" max="17" width="8.140625" bestFit="1" customWidth="1"/>
    <col min="18" max="18" width="11.28515625" customWidth="1"/>
    <col min="19" max="19" width="6.42578125" bestFit="1" customWidth="1"/>
    <col min="20" max="20" width="8.140625" bestFit="1" customWidth="1"/>
    <col min="21" max="21" width="10.28515625" customWidth="1"/>
    <col min="22" max="22" width="6.42578125" bestFit="1" customWidth="1"/>
    <col min="23" max="23" width="8.140625" bestFit="1" customWidth="1"/>
    <col min="24" max="24" width="10.140625" customWidth="1"/>
    <col min="25" max="25" width="6.42578125" bestFit="1" customWidth="1"/>
    <col min="26" max="26" width="8.140625" bestFit="1" customWidth="1"/>
    <col min="27" max="27" width="9.85546875" customWidth="1"/>
    <col min="28" max="28" width="6.42578125" bestFit="1" customWidth="1"/>
    <col min="29" max="29" width="8.140625" bestFit="1" customWidth="1"/>
    <col min="30" max="30" width="11" customWidth="1"/>
    <col min="31" max="31" width="6.42578125" bestFit="1" customWidth="1"/>
    <col min="32" max="32" width="8.140625" bestFit="1" customWidth="1"/>
    <col min="33" max="33" width="11.85546875" bestFit="1" customWidth="1"/>
  </cols>
  <sheetData>
    <row r="1" spans="1:35" ht="15.75" thickBot="1" x14ac:dyDescent="0.3">
      <c r="B1" s="179" t="s">
        <v>45</v>
      </c>
      <c r="C1" s="191" t="s">
        <v>74</v>
      </c>
      <c r="D1" s="192"/>
      <c r="E1" s="192"/>
      <c r="F1" s="192"/>
      <c r="G1" s="192"/>
      <c r="H1" s="192"/>
      <c r="I1" s="192"/>
      <c r="J1" s="192"/>
      <c r="K1" s="192"/>
      <c r="L1" s="192"/>
      <c r="M1" s="192"/>
      <c r="N1" s="192"/>
      <c r="O1" s="172" t="s">
        <v>75</v>
      </c>
      <c r="P1" s="172"/>
      <c r="Q1" s="172"/>
      <c r="R1" s="172"/>
      <c r="S1" s="172"/>
      <c r="T1" s="172"/>
      <c r="U1" s="172"/>
      <c r="V1" s="172"/>
      <c r="W1" s="172"/>
      <c r="X1" s="172"/>
      <c r="Y1" s="172"/>
      <c r="Z1" s="172"/>
      <c r="AA1" s="172"/>
      <c r="AB1" s="172"/>
      <c r="AC1" s="172"/>
      <c r="AD1" s="192" t="s">
        <v>47</v>
      </c>
      <c r="AE1" s="192"/>
      <c r="AF1" s="193"/>
      <c r="AG1" s="172" t="s">
        <v>235</v>
      </c>
      <c r="AH1" s="172"/>
      <c r="AI1" s="172"/>
    </row>
    <row r="2" spans="1:35" ht="15.75" thickBot="1" x14ac:dyDescent="0.3">
      <c r="B2" s="180"/>
      <c r="C2" s="182" t="s">
        <v>63</v>
      </c>
      <c r="D2" s="183"/>
      <c r="E2" s="184"/>
      <c r="F2" s="185" t="s">
        <v>64</v>
      </c>
      <c r="G2" s="186"/>
      <c r="H2" s="187"/>
      <c r="I2" s="182" t="s">
        <v>65</v>
      </c>
      <c r="J2" s="183"/>
      <c r="K2" s="184"/>
      <c r="L2" s="185" t="s">
        <v>66</v>
      </c>
      <c r="M2" s="186"/>
      <c r="N2" s="187"/>
      <c r="O2" s="182" t="s">
        <v>67</v>
      </c>
      <c r="P2" s="183"/>
      <c r="Q2" s="184"/>
      <c r="R2" s="185" t="s">
        <v>68</v>
      </c>
      <c r="S2" s="186"/>
      <c r="T2" s="187"/>
      <c r="U2" s="182" t="s">
        <v>69</v>
      </c>
      <c r="V2" s="183"/>
      <c r="W2" s="184"/>
      <c r="X2" s="185" t="s">
        <v>70</v>
      </c>
      <c r="Y2" s="186"/>
      <c r="Z2" s="187"/>
      <c r="AA2" s="182" t="s">
        <v>71</v>
      </c>
      <c r="AB2" s="183"/>
      <c r="AC2" s="184"/>
      <c r="AD2" s="185" t="s">
        <v>72</v>
      </c>
      <c r="AE2" s="186"/>
      <c r="AF2" s="190"/>
      <c r="AG2" s="173" t="s">
        <v>236</v>
      </c>
      <c r="AH2" s="174"/>
      <c r="AI2" s="175"/>
    </row>
    <row r="3" spans="1:35" ht="15.75" thickBot="1" x14ac:dyDescent="0.3">
      <c r="B3" s="181"/>
      <c r="C3" s="57" t="s">
        <v>73</v>
      </c>
      <c r="D3" s="55" t="s">
        <v>56</v>
      </c>
      <c r="E3" s="67" t="s">
        <v>30</v>
      </c>
      <c r="F3" s="72" t="s">
        <v>73</v>
      </c>
      <c r="G3" s="71" t="s">
        <v>56</v>
      </c>
      <c r="H3" s="80" t="s">
        <v>30</v>
      </c>
      <c r="I3" s="57" t="s">
        <v>73</v>
      </c>
      <c r="J3" s="55" t="s">
        <v>56</v>
      </c>
      <c r="K3" s="67" t="s">
        <v>30</v>
      </c>
      <c r="L3" s="72" t="s">
        <v>73</v>
      </c>
      <c r="M3" s="71" t="s">
        <v>56</v>
      </c>
      <c r="N3" s="80" t="s">
        <v>30</v>
      </c>
      <c r="O3" s="57" t="s">
        <v>73</v>
      </c>
      <c r="P3" s="55" t="s">
        <v>56</v>
      </c>
      <c r="Q3" s="67" t="s">
        <v>30</v>
      </c>
      <c r="R3" s="72" t="s">
        <v>73</v>
      </c>
      <c r="S3" s="71" t="s">
        <v>56</v>
      </c>
      <c r="T3" s="80" t="s">
        <v>30</v>
      </c>
      <c r="U3" s="57" t="s">
        <v>73</v>
      </c>
      <c r="V3" s="55" t="s">
        <v>56</v>
      </c>
      <c r="W3" s="67" t="s">
        <v>30</v>
      </c>
      <c r="X3" s="72" t="s">
        <v>73</v>
      </c>
      <c r="Y3" s="71" t="s">
        <v>56</v>
      </c>
      <c r="Z3" s="80" t="s">
        <v>30</v>
      </c>
      <c r="AA3" s="57" t="s">
        <v>73</v>
      </c>
      <c r="AB3" s="55" t="s">
        <v>56</v>
      </c>
      <c r="AC3" s="67" t="s">
        <v>30</v>
      </c>
      <c r="AD3" s="72" t="s">
        <v>73</v>
      </c>
      <c r="AE3" s="71" t="s">
        <v>56</v>
      </c>
      <c r="AF3" s="73" t="s">
        <v>30</v>
      </c>
      <c r="AG3" s="122" t="s">
        <v>237</v>
      </c>
      <c r="AH3" s="122" t="s">
        <v>29</v>
      </c>
      <c r="AI3" s="123" t="s">
        <v>30</v>
      </c>
    </row>
    <row r="4" spans="1:35" x14ac:dyDescent="0.25">
      <c r="A4" s="146">
        <v>1</v>
      </c>
      <c r="B4" s="82" t="s">
        <v>1</v>
      </c>
      <c r="C4" s="58">
        <v>136</v>
      </c>
      <c r="D4" s="56">
        <f>IF(ISNUMBER(C4),IF(C4&lt;1070,1,0),0)</f>
        <v>1</v>
      </c>
      <c r="E4" s="68">
        <f>IF(D4=1, COUNTIFS($D$4:$D$28,1,$C$4:$C$28,"&lt;"&amp;C4)+1, "")</f>
        <v>1</v>
      </c>
      <c r="F4" s="74">
        <v>95.9</v>
      </c>
      <c r="G4" s="56">
        <f>IF(ISNUMBER(F4), IF(F4&gt;23, 1, 0), 0)</f>
        <v>1</v>
      </c>
      <c r="H4" s="68">
        <f>IF(G4=1, COUNTIFS($G$4:$G$28, 1, $F$4:$F$28,"&gt;"&amp;F4)+1, "")</f>
        <v>1</v>
      </c>
      <c r="I4" s="58">
        <v>10</v>
      </c>
      <c r="J4" s="56">
        <f>IF(ISNUMBER(I4), IF(I4&gt;13, 1, 0), 0)</f>
        <v>0</v>
      </c>
      <c r="K4" s="69" t="str">
        <f>IF(J4=1, COUNTIFS($J$4:$J$28, 1, $I$4:$I$28, "&gt;"&amp;I4)+1, "")</f>
        <v/>
      </c>
      <c r="L4" s="74">
        <v>4.0999999999999996</v>
      </c>
      <c r="M4" s="56">
        <f>IF(ISNUMBER(L4), IF(L4&gt;2.6, 1, 0), 0)</f>
        <v>1</v>
      </c>
      <c r="N4" s="68">
        <f>IF(M4=1, COUNTIFS($M$4:$M$28, 1, $L$4:$L$28, "&gt;"&amp;L4)+1, "")</f>
        <v>4</v>
      </c>
      <c r="O4" s="58">
        <v>32442</v>
      </c>
      <c r="P4" s="56">
        <f>IF(ISNUMBER(O4), IF(O4&gt;9300, 1, 0), 0)</f>
        <v>1</v>
      </c>
      <c r="Q4" s="68">
        <f>IF(P4=1, COUNTIFS($P$4:$P$28, 1, $O$4:$O$28, "&gt;"&amp;O4)+1, "")</f>
        <v>2</v>
      </c>
      <c r="R4" s="74">
        <v>5499</v>
      </c>
      <c r="S4" s="56">
        <f>IF(ISNUMBER(R4), IF(R4&gt;1450, 1, 0), 0)</f>
        <v>1</v>
      </c>
      <c r="T4" s="68">
        <f>IF(S4=1, COUNTIFS($S$4:$S$28, 1, $R$4:$R$28, "&gt;"&amp;R4)+1, "")</f>
        <v>2</v>
      </c>
      <c r="U4" s="58">
        <v>1654</v>
      </c>
      <c r="V4" s="56">
        <f>IF(ISNUMBER(U4),IF(U4&gt;200, 1, 0), 0)</f>
        <v>1</v>
      </c>
      <c r="W4" s="68">
        <f>IF(V4=1, COUNTIFS($V$4:$V$28,1,$U$4:$U$28,"&gt;"&amp;U4)+1,"")</f>
        <v>1</v>
      </c>
      <c r="X4" s="74">
        <f>36+36+73+45+59</f>
        <v>249</v>
      </c>
      <c r="Y4" s="56">
        <f>IF(ISNUMBER(X4), IF(X4&gt;36, 1, 0), 0)</f>
        <v>1</v>
      </c>
      <c r="Z4" s="68">
        <f>IF(Y4=1, COUNTIFS($Y$4:$Y$28,1,$X$4:$X$28,"&gt;"&amp;X4)+1,"")</f>
        <v>1</v>
      </c>
      <c r="AA4" s="58" t="s">
        <v>59</v>
      </c>
      <c r="AB4" s="56">
        <f>IF(AA4="SI", 1, 0)</f>
        <v>0</v>
      </c>
      <c r="AC4" s="69"/>
      <c r="AD4" s="72">
        <v>38</v>
      </c>
      <c r="AE4" s="56">
        <f>IF(ISNUMBER(AD4), IF(AD4&gt;30, 1, 0), 0)</f>
        <v>1</v>
      </c>
      <c r="AF4" s="68">
        <f>IF(AE4=1,COUNTIFS($AE$4:$AE$28,1,$AD$4:$AD$28,"&gt;"&amp;AD4)+1,"")</f>
        <v>8</v>
      </c>
      <c r="AG4" s="124">
        <v>89</v>
      </c>
      <c r="AH4" s="90">
        <f>IF(AND(AG4&gt;27, ISNUMBER(AG4)), 1, 0)</f>
        <v>1</v>
      </c>
      <c r="AI4" s="77">
        <f>IF(AH4=1, COUNTIFS($AH$4:$AH$28,1,$AG$4:$AG$28,"&gt;"&amp;AG4)+1,"")</f>
        <v>2</v>
      </c>
    </row>
    <row r="5" spans="1:35" x14ac:dyDescent="0.25">
      <c r="A5" s="147">
        <v>2</v>
      </c>
      <c r="B5" s="83" t="s">
        <v>2</v>
      </c>
      <c r="C5" s="58">
        <v>187</v>
      </c>
      <c r="D5" s="56">
        <f t="shared" ref="D5:D28" si="0">IF(ISNUMBER(C5),IF(C5&lt;1070,1,0),0)</f>
        <v>1</v>
      </c>
      <c r="E5" s="68">
        <f t="shared" ref="E5:E30" si="1">IF(D5=1, COUNTIFS($D$4:$D$28,1,$C$4:$C$28,"&lt;"&amp;C5)+1, "")</f>
        <v>2</v>
      </c>
      <c r="F5" s="74">
        <v>93.9</v>
      </c>
      <c r="G5" s="56">
        <f t="shared" ref="G5:G28" si="2">IF(ISNUMBER(F5), IF(F5&gt;23, 1, 0), 0)</f>
        <v>1</v>
      </c>
      <c r="H5" s="68">
        <f t="shared" ref="H5:H30" si="3">IF(G5=1, COUNTIFS($G$4:$G$28, 1, $F$4:$F$28,"&gt;"&amp;F5)+1, "")</f>
        <v>2</v>
      </c>
      <c r="I5" s="58">
        <v>24.5</v>
      </c>
      <c r="J5" s="56">
        <f t="shared" ref="J5:J28" si="4">IF(ISNUMBER(I5), IF(I5&gt;13, 1, 0), 0)</f>
        <v>1</v>
      </c>
      <c r="K5" s="68">
        <f t="shared" ref="K5:K30" si="5">IF(J5=1, COUNTIFS($J$4:$J$28, 1, $I$4:$I$28, "&gt;"&amp;I5)+1, "")</f>
        <v>3</v>
      </c>
      <c r="L5" s="74">
        <v>4.8</v>
      </c>
      <c r="M5" s="56">
        <f t="shared" ref="M5:M28" si="6">IF(ISNUMBER(L5), IF(L5&gt;2.6, 1, 0), 0)</f>
        <v>1</v>
      </c>
      <c r="N5" s="68">
        <f t="shared" ref="N5:N27" si="7">IF(M5=1, COUNTIFS($M$4:$M$28, 1, $L$4:$L$28, "&gt;"&amp;L5)+1, "")</f>
        <v>1</v>
      </c>
      <c r="O5" s="58">
        <v>18256</v>
      </c>
      <c r="P5" s="56">
        <f t="shared" ref="P5:P28" si="8">IF(ISNUMBER(O5), IF(O5&gt;9300, 1, 0), 0)</f>
        <v>1</v>
      </c>
      <c r="Q5" s="68">
        <f t="shared" ref="Q5:Q28" si="9">IF(P5=1, COUNTIFS($P$4:$P$28, 1, $O$4:$O$28, "&gt;"&amp;O5)+1, "")</f>
        <v>5</v>
      </c>
      <c r="R5" s="74">
        <v>5288</v>
      </c>
      <c r="S5" s="56">
        <f t="shared" ref="S5:S28" si="10">IF(ISNUMBER(R5), IF(R5&gt;1450, 1, 0), 0)</f>
        <v>1</v>
      </c>
      <c r="T5" s="68">
        <f t="shared" ref="T5:T28" si="11">IF(S5=1, COUNTIFS($S$4:$S$28, 1, $R$4:$R$28, "&gt;"&amp;R5)+1, "")</f>
        <v>3</v>
      </c>
      <c r="U5" s="58">
        <v>281</v>
      </c>
      <c r="V5" s="56">
        <f t="shared" ref="V5:V28" si="12">IF(ISNUMBER(U5),IF(U5&gt;200, 1, 0), 0)</f>
        <v>1</v>
      </c>
      <c r="W5" s="68">
        <f t="shared" ref="W5:W28" si="13">IF(V5=1, COUNTIFS($V$4:$V$28,1,$U$4:$U$28,"&gt;"&amp;U5)+1,"")</f>
        <v>6</v>
      </c>
      <c r="X5" s="74">
        <f>16+7+16+3+7</f>
        <v>49</v>
      </c>
      <c r="Y5" s="56">
        <f t="shared" ref="Y5:Y28" si="14">IF(ISNUMBER(X5), IF(X5&gt;36, 1, 0), 0)</f>
        <v>1</v>
      </c>
      <c r="Z5" s="68">
        <f t="shared" ref="Z5:Z30" si="15">IF(Y5=1, COUNTIFS($Y$4:$Y$28,1,$X$4:$X$28,"&gt;"&amp;X5)+1,"")</f>
        <v>6</v>
      </c>
      <c r="AA5" s="58" t="s">
        <v>59</v>
      </c>
      <c r="AB5" s="56">
        <f t="shared" ref="AB5:AB28" si="16">IF(AA5="SI", 1, 0)</f>
        <v>0</v>
      </c>
      <c r="AC5" s="69"/>
      <c r="AD5" s="72">
        <v>169</v>
      </c>
      <c r="AE5" s="56">
        <f t="shared" ref="AE5:AE28" si="17">IF(ISNUMBER(AD5), IF(AD5&gt;30, 1, 0), 0)</f>
        <v>1</v>
      </c>
      <c r="AF5" s="68">
        <f t="shared" ref="AF5:AF27" si="18">IF(AE5=1,COUNTIFS($AE$4:$AE$28,1,$AD$4:$AD$28,"&gt;"&amp;AD5)+1,"")</f>
        <v>2</v>
      </c>
      <c r="AG5" s="58">
        <v>67</v>
      </c>
      <c r="AH5" s="56">
        <f t="shared" ref="AH5:AH28" si="19">IF(AND(AG5&gt;27, ISNUMBER(AG5)), 1, 0)</f>
        <v>1</v>
      </c>
      <c r="AI5" s="2">
        <f t="shared" ref="AI5:AI28" si="20">IF(AH5=1, COUNTIFS($AH$4:$AH$28,1,$AG$4:$AG$28,"&gt;"&amp;AG5)+1,"")</f>
        <v>4</v>
      </c>
    </row>
    <row r="6" spans="1:35" x14ac:dyDescent="0.25">
      <c r="A6" s="147">
        <v>3</v>
      </c>
      <c r="B6" s="83" t="s">
        <v>3</v>
      </c>
      <c r="C6" s="58">
        <v>711</v>
      </c>
      <c r="D6" s="56">
        <f t="shared" si="0"/>
        <v>1</v>
      </c>
      <c r="E6" s="68">
        <f t="shared" si="1"/>
        <v>3</v>
      </c>
      <c r="F6" s="74">
        <v>34.4</v>
      </c>
      <c r="G6" s="56">
        <f t="shared" si="2"/>
        <v>1</v>
      </c>
      <c r="H6" s="68">
        <f t="shared" si="3"/>
        <v>4</v>
      </c>
      <c r="I6" s="58">
        <v>24.5</v>
      </c>
      <c r="J6" s="56">
        <f t="shared" si="4"/>
        <v>1</v>
      </c>
      <c r="K6" s="68">
        <f t="shared" si="5"/>
        <v>3</v>
      </c>
      <c r="L6" s="74">
        <v>1.7</v>
      </c>
      <c r="M6" s="56">
        <f t="shared" si="6"/>
        <v>0</v>
      </c>
      <c r="N6" s="69" t="str">
        <f t="shared" si="7"/>
        <v/>
      </c>
      <c r="O6" s="58">
        <v>1744</v>
      </c>
      <c r="P6" s="56">
        <f t="shared" si="8"/>
        <v>0</v>
      </c>
      <c r="Q6" s="69" t="str">
        <f t="shared" si="9"/>
        <v/>
      </c>
      <c r="R6" s="74">
        <v>430</v>
      </c>
      <c r="S6" s="56">
        <f t="shared" si="10"/>
        <v>0</v>
      </c>
      <c r="T6" s="69" t="str">
        <f t="shared" si="11"/>
        <v/>
      </c>
      <c r="U6" s="58">
        <v>6</v>
      </c>
      <c r="V6" s="56">
        <f t="shared" si="12"/>
        <v>0</v>
      </c>
      <c r="W6" s="69" t="str">
        <f t="shared" si="13"/>
        <v/>
      </c>
      <c r="X6" s="74" t="s">
        <v>31</v>
      </c>
      <c r="Y6" s="56">
        <f t="shared" si="14"/>
        <v>0</v>
      </c>
      <c r="Z6" s="69" t="str">
        <f t="shared" si="15"/>
        <v/>
      </c>
      <c r="AA6" s="58" t="s">
        <v>59</v>
      </c>
      <c r="AB6" s="56">
        <f t="shared" si="16"/>
        <v>0</v>
      </c>
      <c r="AC6" s="69"/>
      <c r="AD6" s="72">
        <v>34</v>
      </c>
      <c r="AE6" s="56">
        <f t="shared" si="17"/>
        <v>1</v>
      </c>
      <c r="AF6" s="68">
        <f t="shared" si="18"/>
        <v>9</v>
      </c>
      <c r="AG6" s="58">
        <v>14</v>
      </c>
      <c r="AH6" s="56">
        <f t="shared" si="19"/>
        <v>0</v>
      </c>
      <c r="AI6" s="59" t="str">
        <f t="shared" si="20"/>
        <v/>
      </c>
    </row>
    <row r="7" spans="1:35" x14ac:dyDescent="0.25">
      <c r="A7" s="147">
        <v>4</v>
      </c>
      <c r="B7" s="83" t="s">
        <v>4</v>
      </c>
      <c r="C7" s="58">
        <v>816</v>
      </c>
      <c r="D7" s="56">
        <f t="shared" si="0"/>
        <v>1</v>
      </c>
      <c r="E7" s="68">
        <f t="shared" si="1"/>
        <v>4</v>
      </c>
      <c r="F7" s="74">
        <v>40</v>
      </c>
      <c r="G7" s="56">
        <f t="shared" si="2"/>
        <v>1</v>
      </c>
      <c r="H7" s="68">
        <f t="shared" si="3"/>
        <v>3</v>
      </c>
      <c r="I7" s="58">
        <v>51.1</v>
      </c>
      <c r="J7" s="56">
        <f t="shared" si="4"/>
        <v>1</v>
      </c>
      <c r="K7" s="68">
        <f t="shared" si="5"/>
        <v>1</v>
      </c>
      <c r="L7" s="74">
        <v>2.7</v>
      </c>
      <c r="M7" s="56">
        <f t="shared" si="6"/>
        <v>1</v>
      </c>
      <c r="N7" s="68">
        <f t="shared" si="7"/>
        <v>10</v>
      </c>
      <c r="O7" s="58">
        <v>431</v>
      </c>
      <c r="P7" s="56">
        <f t="shared" si="8"/>
        <v>0</v>
      </c>
      <c r="Q7" s="69" t="str">
        <f t="shared" si="9"/>
        <v/>
      </c>
      <c r="R7" s="74">
        <v>114</v>
      </c>
      <c r="S7" s="56">
        <f t="shared" si="10"/>
        <v>0</v>
      </c>
      <c r="T7" s="69" t="str">
        <f t="shared" si="11"/>
        <v/>
      </c>
      <c r="U7" s="58">
        <v>35</v>
      </c>
      <c r="V7" s="56">
        <f t="shared" si="12"/>
        <v>0</v>
      </c>
      <c r="W7" s="69" t="str">
        <f t="shared" si="13"/>
        <v/>
      </c>
      <c r="X7" s="74" t="s">
        <v>31</v>
      </c>
      <c r="Y7" s="56">
        <f t="shared" si="14"/>
        <v>0</v>
      </c>
      <c r="Z7" s="69" t="str">
        <f t="shared" si="15"/>
        <v/>
      </c>
      <c r="AA7" s="58" t="s">
        <v>59</v>
      </c>
      <c r="AB7" s="56">
        <f t="shared" si="16"/>
        <v>0</v>
      </c>
      <c r="AC7" s="69"/>
      <c r="AD7" s="72">
        <v>0</v>
      </c>
      <c r="AE7" s="56">
        <f t="shared" si="17"/>
        <v>0</v>
      </c>
      <c r="AF7" s="69" t="str">
        <f t="shared" si="18"/>
        <v/>
      </c>
      <c r="AG7" s="58">
        <v>5</v>
      </c>
      <c r="AH7" s="56">
        <f t="shared" si="19"/>
        <v>0</v>
      </c>
      <c r="AI7" s="59" t="str">
        <f t="shared" si="20"/>
        <v/>
      </c>
    </row>
    <row r="8" spans="1:35" x14ac:dyDescent="0.25">
      <c r="A8" s="147">
        <v>5</v>
      </c>
      <c r="B8" s="83" t="s">
        <v>5</v>
      </c>
      <c r="C8" s="58">
        <v>873</v>
      </c>
      <c r="D8" s="56">
        <f t="shared" si="0"/>
        <v>1</v>
      </c>
      <c r="E8" s="68">
        <f t="shared" si="1"/>
        <v>5</v>
      </c>
      <c r="F8" s="74">
        <v>33.9</v>
      </c>
      <c r="G8" s="56">
        <f t="shared" si="2"/>
        <v>1</v>
      </c>
      <c r="H8" s="68">
        <f t="shared" si="3"/>
        <v>5</v>
      </c>
      <c r="I8" s="58">
        <v>6.7</v>
      </c>
      <c r="J8" s="56">
        <f t="shared" si="4"/>
        <v>0</v>
      </c>
      <c r="K8" s="69" t="str">
        <f t="shared" si="5"/>
        <v/>
      </c>
      <c r="L8" s="74">
        <v>3.1</v>
      </c>
      <c r="M8" s="56">
        <f t="shared" si="6"/>
        <v>1</v>
      </c>
      <c r="N8" s="68">
        <f t="shared" si="7"/>
        <v>6</v>
      </c>
      <c r="O8" s="58">
        <v>55098</v>
      </c>
      <c r="P8" s="56">
        <f t="shared" si="8"/>
        <v>1</v>
      </c>
      <c r="Q8" s="68">
        <f t="shared" si="9"/>
        <v>1</v>
      </c>
      <c r="R8" s="74">
        <v>7529</v>
      </c>
      <c r="S8" s="56">
        <f t="shared" si="10"/>
        <v>1</v>
      </c>
      <c r="T8" s="68">
        <f t="shared" si="11"/>
        <v>1</v>
      </c>
      <c r="U8" s="58">
        <v>714</v>
      </c>
      <c r="V8" s="56">
        <f t="shared" si="12"/>
        <v>1</v>
      </c>
      <c r="W8" s="68">
        <f t="shared" si="13"/>
        <v>2</v>
      </c>
      <c r="X8" s="74">
        <f>24+30+50+46+39</f>
        <v>189</v>
      </c>
      <c r="Y8" s="56">
        <f t="shared" si="14"/>
        <v>1</v>
      </c>
      <c r="Z8" s="68">
        <f t="shared" si="15"/>
        <v>2</v>
      </c>
      <c r="AA8" s="58" t="s">
        <v>59</v>
      </c>
      <c r="AB8" s="56">
        <f t="shared" si="16"/>
        <v>0</v>
      </c>
      <c r="AC8" s="69"/>
      <c r="AD8" s="72">
        <v>118</v>
      </c>
      <c r="AE8" s="56">
        <f t="shared" si="17"/>
        <v>1</v>
      </c>
      <c r="AF8" s="68">
        <f t="shared" si="18"/>
        <v>4</v>
      </c>
      <c r="AG8" s="58">
        <v>146</v>
      </c>
      <c r="AH8" s="56">
        <f t="shared" si="19"/>
        <v>1</v>
      </c>
      <c r="AI8" s="2">
        <f t="shared" si="20"/>
        <v>1</v>
      </c>
    </row>
    <row r="9" spans="1:35" x14ac:dyDescent="0.25">
      <c r="A9" s="147">
        <v>6</v>
      </c>
      <c r="B9" s="83" t="s">
        <v>6</v>
      </c>
      <c r="C9" s="58">
        <v>885</v>
      </c>
      <c r="D9" s="56">
        <f t="shared" si="0"/>
        <v>1</v>
      </c>
      <c r="E9" s="68">
        <f t="shared" si="1"/>
        <v>6</v>
      </c>
      <c r="F9" s="74">
        <v>29.7</v>
      </c>
      <c r="G9" s="56">
        <f t="shared" si="2"/>
        <v>1</v>
      </c>
      <c r="H9" s="68">
        <f t="shared" si="3"/>
        <v>7</v>
      </c>
      <c r="I9" s="58">
        <v>6.2</v>
      </c>
      <c r="J9" s="56">
        <f t="shared" si="4"/>
        <v>0</v>
      </c>
      <c r="K9" s="69" t="str">
        <f t="shared" si="5"/>
        <v/>
      </c>
      <c r="L9" s="74">
        <v>1.4</v>
      </c>
      <c r="M9" s="56">
        <f t="shared" si="6"/>
        <v>0</v>
      </c>
      <c r="N9" s="69" t="str">
        <f t="shared" si="7"/>
        <v/>
      </c>
      <c r="O9" s="58">
        <v>4130</v>
      </c>
      <c r="P9" s="56">
        <f t="shared" si="8"/>
        <v>0</v>
      </c>
      <c r="Q9" s="69" t="str">
        <f t="shared" si="9"/>
        <v/>
      </c>
      <c r="R9" s="74">
        <v>452</v>
      </c>
      <c r="S9" s="56">
        <f t="shared" si="10"/>
        <v>0</v>
      </c>
      <c r="T9" s="69" t="str">
        <f t="shared" si="11"/>
        <v/>
      </c>
      <c r="U9" s="58" t="s">
        <v>31</v>
      </c>
      <c r="V9" s="56">
        <f t="shared" si="12"/>
        <v>0</v>
      </c>
      <c r="W9" s="69" t="str">
        <f t="shared" si="13"/>
        <v/>
      </c>
      <c r="X9" s="74">
        <v>1</v>
      </c>
      <c r="Y9" s="56">
        <f t="shared" si="14"/>
        <v>0</v>
      </c>
      <c r="Z9" s="69" t="str">
        <f t="shared" si="15"/>
        <v/>
      </c>
      <c r="AA9" s="58" t="s">
        <v>59</v>
      </c>
      <c r="AB9" s="56">
        <f t="shared" si="16"/>
        <v>0</v>
      </c>
      <c r="AC9" s="69"/>
      <c r="AD9" s="72">
        <v>4</v>
      </c>
      <c r="AE9" s="56">
        <f t="shared" si="17"/>
        <v>0</v>
      </c>
      <c r="AF9" s="69" t="str">
        <f t="shared" si="18"/>
        <v/>
      </c>
      <c r="AG9" s="58">
        <v>0</v>
      </c>
      <c r="AH9" s="56">
        <f t="shared" si="19"/>
        <v>0</v>
      </c>
      <c r="AI9" s="59" t="str">
        <f t="shared" si="20"/>
        <v/>
      </c>
    </row>
    <row r="10" spans="1:35" x14ac:dyDescent="0.25">
      <c r="A10" s="147">
        <v>7</v>
      </c>
      <c r="B10" s="83" t="s">
        <v>7</v>
      </c>
      <c r="C10" s="58">
        <v>910</v>
      </c>
      <c r="D10" s="56">
        <f t="shared" si="0"/>
        <v>1</v>
      </c>
      <c r="E10" s="68">
        <f t="shared" si="1"/>
        <v>7</v>
      </c>
      <c r="F10" s="74">
        <v>5.8</v>
      </c>
      <c r="G10" s="56">
        <f t="shared" si="2"/>
        <v>0</v>
      </c>
      <c r="H10" s="69" t="str">
        <f t="shared" si="3"/>
        <v/>
      </c>
      <c r="I10" s="58">
        <v>11.5</v>
      </c>
      <c r="J10" s="56">
        <f t="shared" si="4"/>
        <v>0</v>
      </c>
      <c r="K10" s="69" t="str">
        <f t="shared" si="5"/>
        <v/>
      </c>
      <c r="L10" s="74">
        <v>2.9</v>
      </c>
      <c r="M10" s="56">
        <f t="shared" si="6"/>
        <v>1</v>
      </c>
      <c r="N10" s="68">
        <f t="shared" si="7"/>
        <v>7</v>
      </c>
      <c r="O10" s="58" t="s">
        <v>31</v>
      </c>
      <c r="P10" s="56">
        <f t="shared" si="8"/>
        <v>0</v>
      </c>
      <c r="Q10" s="69" t="str">
        <f t="shared" si="9"/>
        <v/>
      </c>
      <c r="R10" s="74" t="s">
        <v>31</v>
      </c>
      <c r="S10" s="56">
        <f t="shared" si="10"/>
        <v>0</v>
      </c>
      <c r="T10" s="69" t="str">
        <f t="shared" si="11"/>
        <v/>
      </c>
      <c r="U10" s="58">
        <v>1</v>
      </c>
      <c r="V10" s="56">
        <f t="shared" si="12"/>
        <v>0</v>
      </c>
      <c r="W10" s="69" t="str">
        <f t="shared" si="13"/>
        <v/>
      </c>
      <c r="X10" s="74" t="s">
        <v>31</v>
      </c>
      <c r="Y10" s="56">
        <f t="shared" si="14"/>
        <v>0</v>
      </c>
      <c r="Z10" s="69" t="str">
        <f t="shared" si="15"/>
        <v/>
      </c>
      <c r="AA10" s="58" t="s">
        <v>59</v>
      </c>
      <c r="AB10" s="56">
        <f t="shared" si="16"/>
        <v>0</v>
      </c>
      <c r="AC10" s="69"/>
      <c r="AD10" s="72">
        <v>0</v>
      </c>
      <c r="AE10" s="56">
        <f t="shared" si="17"/>
        <v>0</v>
      </c>
      <c r="AF10" s="69" t="str">
        <f t="shared" si="18"/>
        <v/>
      </c>
      <c r="AG10" s="58">
        <v>0</v>
      </c>
      <c r="AH10" s="56">
        <f t="shared" si="19"/>
        <v>0</v>
      </c>
      <c r="AI10" s="59" t="str">
        <f t="shared" si="20"/>
        <v/>
      </c>
    </row>
    <row r="11" spans="1:35" x14ac:dyDescent="0.25">
      <c r="A11" s="147">
        <v>8</v>
      </c>
      <c r="B11" s="83" t="s">
        <v>8</v>
      </c>
      <c r="C11" s="58">
        <v>938</v>
      </c>
      <c r="D11" s="56">
        <f t="shared" si="0"/>
        <v>1</v>
      </c>
      <c r="E11" s="68">
        <f t="shared" si="1"/>
        <v>8</v>
      </c>
      <c r="F11" s="74">
        <v>30.2</v>
      </c>
      <c r="G11" s="56">
        <f t="shared" si="2"/>
        <v>1</v>
      </c>
      <c r="H11" s="68">
        <f t="shared" si="3"/>
        <v>6</v>
      </c>
      <c r="I11" s="58">
        <v>8.1</v>
      </c>
      <c r="J11" s="56">
        <f t="shared" si="4"/>
        <v>0</v>
      </c>
      <c r="K11" s="69" t="str">
        <f t="shared" si="5"/>
        <v/>
      </c>
      <c r="L11" s="74">
        <v>1.8</v>
      </c>
      <c r="M11" s="56">
        <f t="shared" si="6"/>
        <v>0</v>
      </c>
      <c r="N11" s="69" t="str">
        <f t="shared" si="7"/>
        <v/>
      </c>
      <c r="O11" s="58">
        <v>2875</v>
      </c>
      <c r="P11" s="56">
        <f t="shared" si="8"/>
        <v>0</v>
      </c>
      <c r="Q11" s="69" t="str">
        <f t="shared" si="9"/>
        <v/>
      </c>
      <c r="R11" s="74">
        <v>407</v>
      </c>
      <c r="S11" s="56">
        <f t="shared" si="10"/>
        <v>0</v>
      </c>
      <c r="T11" s="69" t="str">
        <f t="shared" si="11"/>
        <v/>
      </c>
      <c r="U11" s="58">
        <v>20</v>
      </c>
      <c r="V11" s="56">
        <f t="shared" si="12"/>
        <v>0</v>
      </c>
      <c r="W11" s="69" t="str">
        <f t="shared" si="13"/>
        <v/>
      </c>
      <c r="X11" s="74">
        <v>2</v>
      </c>
      <c r="Y11" s="56">
        <f t="shared" si="14"/>
        <v>0</v>
      </c>
      <c r="Z11" s="69" t="str">
        <f t="shared" si="15"/>
        <v/>
      </c>
      <c r="AA11" s="58" t="s">
        <v>59</v>
      </c>
      <c r="AB11" s="56">
        <f t="shared" si="16"/>
        <v>0</v>
      </c>
      <c r="AC11" s="69"/>
      <c r="AD11" s="72">
        <v>6</v>
      </c>
      <c r="AE11" s="56">
        <f t="shared" si="17"/>
        <v>0</v>
      </c>
      <c r="AF11" s="69" t="str">
        <f t="shared" si="18"/>
        <v/>
      </c>
      <c r="AG11" s="58">
        <v>2</v>
      </c>
      <c r="AH11" s="56">
        <f t="shared" si="19"/>
        <v>0</v>
      </c>
      <c r="AI11" s="59" t="str">
        <f t="shared" si="20"/>
        <v/>
      </c>
    </row>
    <row r="12" spans="1:35" x14ac:dyDescent="0.25">
      <c r="A12" s="147">
        <v>9</v>
      </c>
      <c r="B12" s="83" t="s">
        <v>9</v>
      </c>
      <c r="C12" s="58">
        <v>986</v>
      </c>
      <c r="D12" s="56">
        <f t="shared" si="0"/>
        <v>1</v>
      </c>
      <c r="E12" s="68">
        <f t="shared" si="1"/>
        <v>9</v>
      </c>
      <c r="F12" s="74">
        <v>16</v>
      </c>
      <c r="G12" s="56">
        <f t="shared" si="2"/>
        <v>0</v>
      </c>
      <c r="H12" s="69" t="str">
        <f t="shared" si="3"/>
        <v/>
      </c>
      <c r="I12" s="58">
        <v>11.5</v>
      </c>
      <c r="J12" s="56">
        <f t="shared" si="4"/>
        <v>0</v>
      </c>
      <c r="K12" s="69" t="str">
        <f t="shared" si="5"/>
        <v/>
      </c>
      <c r="L12" s="74">
        <v>4.3</v>
      </c>
      <c r="M12" s="56">
        <f t="shared" si="6"/>
        <v>1</v>
      </c>
      <c r="N12" s="68">
        <f t="shared" si="7"/>
        <v>3</v>
      </c>
      <c r="O12" s="58">
        <v>12363</v>
      </c>
      <c r="P12" s="56">
        <f t="shared" si="8"/>
        <v>1</v>
      </c>
      <c r="Q12" s="68">
        <f t="shared" si="9"/>
        <v>7</v>
      </c>
      <c r="R12" s="74">
        <v>910</v>
      </c>
      <c r="S12" s="56">
        <f t="shared" si="10"/>
        <v>0</v>
      </c>
      <c r="T12" s="69" t="str">
        <f t="shared" si="11"/>
        <v/>
      </c>
      <c r="U12" s="58">
        <v>364</v>
      </c>
      <c r="V12" s="56">
        <f t="shared" si="12"/>
        <v>1</v>
      </c>
      <c r="W12" s="68">
        <f t="shared" si="13"/>
        <v>4</v>
      </c>
      <c r="X12" s="74">
        <f>9+14+3+7+8</f>
        <v>41</v>
      </c>
      <c r="Y12" s="56">
        <f t="shared" si="14"/>
        <v>1</v>
      </c>
      <c r="Z12" s="68">
        <f t="shared" si="15"/>
        <v>8</v>
      </c>
      <c r="AA12" s="58" t="s">
        <v>59</v>
      </c>
      <c r="AB12" s="56">
        <f t="shared" si="16"/>
        <v>0</v>
      </c>
      <c r="AC12" s="69"/>
      <c r="AD12" s="72">
        <v>6</v>
      </c>
      <c r="AE12" s="56">
        <f t="shared" si="17"/>
        <v>0</v>
      </c>
      <c r="AF12" s="69" t="str">
        <f t="shared" si="18"/>
        <v/>
      </c>
      <c r="AG12" s="58">
        <v>35</v>
      </c>
      <c r="AH12" s="56">
        <f t="shared" si="19"/>
        <v>1</v>
      </c>
      <c r="AI12" s="2">
        <f t="shared" si="20"/>
        <v>7</v>
      </c>
    </row>
    <row r="13" spans="1:35" x14ac:dyDescent="0.25">
      <c r="A13" s="147">
        <v>10</v>
      </c>
      <c r="B13" s="83" t="s">
        <v>10</v>
      </c>
      <c r="C13" s="58">
        <v>1116</v>
      </c>
      <c r="D13" s="56">
        <f t="shared" si="0"/>
        <v>0</v>
      </c>
      <c r="E13" s="69" t="str">
        <f t="shared" si="1"/>
        <v/>
      </c>
      <c r="F13" s="74">
        <v>12.5</v>
      </c>
      <c r="G13" s="56">
        <f t="shared" si="2"/>
        <v>0</v>
      </c>
      <c r="H13" s="69" t="str">
        <f t="shared" si="3"/>
        <v/>
      </c>
      <c r="I13" s="58">
        <v>2.8</v>
      </c>
      <c r="J13" s="56">
        <f t="shared" si="4"/>
        <v>0</v>
      </c>
      <c r="K13" s="69" t="str">
        <f t="shared" si="5"/>
        <v/>
      </c>
      <c r="L13" s="74">
        <v>1.6</v>
      </c>
      <c r="M13" s="56">
        <f t="shared" si="6"/>
        <v>0</v>
      </c>
      <c r="N13" s="69" t="str">
        <f t="shared" si="7"/>
        <v/>
      </c>
      <c r="O13" s="58">
        <v>23776</v>
      </c>
      <c r="P13" s="56">
        <f t="shared" si="8"/>
        <v>1</v>
      </c>
      <c r="Q13" s="68">
        <f t="shared" si="9"/>
        <v>3</v>
      </c>
      <c r="R13" s="74">
        <v>4043</v>
      </c>
      <c r="S13" s="56">
        <f t="shared" si="10"/>
        <v>1</v>
      </c>
      <c r="T13" s="68">
        <f t="shared" si="11"/>
        <v>4</v>
      </c>
      <c r="U13" s="58">
        <v>394</v>
      </c>
      <c r="V13" s="56">
        <f t="shared" si="12"/>
        <v>1</v>
      </c>
      <c r="W13" s="68">
        <f t="shared" si="13"/>
        <v>3</v>
      </c>
      <c r="X13" s="74">
        <f>5+5+17+11+14</f>
        <v>52</v>
      </c>
      <c r="Y13" s="56">
        <f t="shared" si="14"/>
        <v>1</v>
      </c>
      <c r="Z13" s="68">
        <f t="shared" si="15"/>
        <v>5</v>
      </c>
      <c r="AA13" s="58" t="s">
        <v>60</v>
      </c>
      <c r="AB13" s="56">
        <f t="shared" si="16"/>
        <v>1</v>
      </c>
      <c r="AC13" s="68">
        <v>1</v>
      </c>
      <c r="AD13" s="72">
        <v>181</v>
      </c>
      <c r="AE13" s="56">
        <f t="shared" si="17"/>
        <v>1</v>
      </c>
      <c r="AF13" s="68">
        <f t="shared" si="18"/>
        <v>1</v>
      </c>
      <c r="AG13" s="58">
        <v>87</v>
      </c>
      <c r="AH13" s="56">
        <f t="shared" si="19"/>
        <v>1</v>
      </c>
      <c r="AI13" s="2">
        <f t="shared" si="20"/>
        <v>3</v>
      </c>
    </row>
    <row r="14" spans="1:35" x14ac:dyDescent="0.25">
      <c r="A14" s="147">
        <v>11</v>
      </c>
      <c r="B14" s="83" t="s">
        <v>11</v>
      </c>
      <c r="C14" s="58">
        <v>1117</v>
      </c>
      <c r="D14" s="56">
        <f t="shared" si="0"/>
        <v>0</v>
      </c>
      <c r="E14" s="69" t="str">
        <f t="shared" si="1"/>
        <v/>
      </c>
      <c r="F14" s="74">
        <v>13.1</v>
      </c>
      <c r="G14" s="56">
        <f t="shared" si="2"/>
        <v>0</v>
      </c>
      <c r="H14" s="69" t="str">
        <f t="shared" si="3"/>
        <v/>
      </c>
      <c r="I14" s="58">
        <v>21.9</v>
      </c>
      <c r="J14" s="56">
        <f t="shared" si="4"/>
        <v>1</v>
      </c>
      <c r="K14" s="68">
        <f t="shared" si="5"/>
        <v>5</v>
      </c>
      <c r="L14" s="74">
        <v>3.4</v>
      </c>
      <c r="M14" s="56">
        <f t="shared" si="6"/>
        <v>1</v>
      </c>
      <c r="N14" s="68">
        <f t="shared" si="7"/>
        <v>5</v>
      </c>
      <c r="O14" s="58">
        <v>1541</v>
      </c>
      <c r="P14" s="56">
        <f t="shared" si="8"/>
        <v>0</v>
      </c>
      <c r="Q14" s="69" t="str">
        <f t="shared" si="9"/>
        <v/>
      </c>
      <c r="R14" s="74">
        <v>337</v>
      </c>
      <c r="S14" s="56">
        <f t="shared" si="10"/>
        <v>0</v>
      </c>
      <c r="T14" s="69" t="str">
        <f t="shared" si="11"/>
        <v/>
      </c>
      <c r="U14" s="58">
        <v>33</v>
      </c>
      <c r="V14" s="56">
        <f t="shared" si="12"/>
        <v>0</v>
      </c>
      <c r="W14" s="69" t="str">
        <f t="shared" si="13"/>
        <v/>
      </c>
      <c r="X14" s="74">
        <v>2</v>
      </c>
      <c r="Y14" s="56">
        <f t="shared" si="14"/>
        <v>0</v>
      </c>
      <c r="Z14" s="69" t="str">
        <f t="shared" si="15"/>
        <v/>
      </c>
      <c r="AA14" s="58" t="s">
        <v>59</v>
      </c>
      <c r="AB14" s="56">
        <f t="shared" si="16"/>
        <v>0</v>
      </c>
      <c r="AC14" s="69"/>
      <c r="AD14" s="72">
        <v>11</v>
      </c>
      <c r="AE14" s="56">
        <f t="shared" si="17"/>
        <v>0</v>
      </c>
      <c r="AF14" s="69" t="str">
        <f t="shared" si="18"/>
        <v/>
      </c>
      <c r="AG14" s="58">
        <v>6</v>
      </c>
      <c r="AH14" s="56">
        <f t="shared" si="19"/>
        <v>0</v>
      </c>
      <c r="AI14" s="59" t="str">
        <f t="shared" si="20"/>
        <v/>
      </c>
    </row>
    <row r="15" spans="1:35" x14ac:dyDescent="0.25">
      <c r="A15" s="147">
        <v>12</v>
      </c>
      <c r="B15" s="83" t="s">
        <v>12</v>
      </c>
      <c r="C15" s="58">
        <v>1213</v>
      </c>
      <c r="D15" s="56">
        <f t="shared" si="0"/>
        <v>0</v>
      </c>
      <c r="E15" s="69" t="str">
        <f t="shared" si="1"/>
        <v/>
      </c>
      <c r="F15" s="74">
        <v>8</v>
      </c>
      <c r="G15" s="56">
        <f t="shared" si="2"/>
        <v>0</v>
      </c>
      <c r="H15" s="69" t="str">
        <f t="shared" si="3"/>
        <v/>
      </c>
      <c r="I15" s="58">
        <v>3.6</v>
      </c>
      <c r="J15" s="56">
        <f t="shared" si="4"/>
        <v>0</v>
      </c>
      <c r="K15" s="69" t="str">
        <f t="shared" si="5"/>
        <v/>
      </c>
      <c r="L15" s="74">
        <v>2.9</v>
      </c>
      <c r="M15" s="56">
        <f t="shared" si="6"/>
        <v>1</v>
      </c>
      <c r="N15" s="68">
        <f t="shared" si="7"/>
        <v>7</v>
      </c>
      <c r="O15" s="58">
        <v>13865</v>
      </c>
      <c r="P15" s="56">
        <f t="shared" si="8"/>
        <v>1</v>
      </c>
      <c r="Q15" s="68">
        <f t="shared" si="9"/>
        <v>6</v>
      </c>
      <c r="R15" s="74">
        <v>576</v>
      </c>
      <c r="S15" s="56">
        <f t="shared" si="10"/>
        <v>0</v>
      </c>
      <c r="T15" s="69" t="str">
        <f t="shared" si="11"/>
        <v/>
      </c>
      <c r="U15" s="58">
        <v>297</v>
      </c>
      <c r="V15" s="56">
        <f t="shared" si="12"/>
        <v>1</v>
      </c>
      <c r="W15" s="68">
        <f t="shared" si="13"/>
        <v>5</v>
      </c>
      <c r="X15" s="74">
        <f>19+10+15+11+17</f>
        <v>72</v>
      </c>
      <c r="Y15" s="56">
        <f t="shared" si="14"/>
        <v>1</v>
      </c>
      <c r="Z15" s="68">
        <f t="shared" si="15"/>
        <v>4</v>
      </c>
      <c r="AA15" s="58" t="s">
        <v>59</v>
      </c>
      <c r="AB15" s="56">
        <f t="shared" si="16"/>
        <v>0</v>
      </c>
      <c r="AC15" s="69"/>
      <c r="AD15" s="72">
        <v>19</v>
      </c>
      <c r="AE15" s="56">
        <f t="shared" si="17"/>
        <v>0</v>
      </c>
      <c r="AF15" s="69" t="str">
        <f t="shared" si="18"/>
        <v/>
      </c>
      <c r="AG15" s="58">
        <v>32</v>
      </c>
      <c r="AH15" s="56">
        <f t="shared" si="19"/>
        <v>1</v>
      </c>
      <c r="AI15" s="2">
        <f t="shared" si="20"/>
        <v>8</v>
      </c>
    </row>
    <row r="16" spans="1:35" x14ac:dyDescent="0.25">
      <c r="A16" s="147">
        <v>13</v>
      </c>
      <c r="B16" s="83" t="s">
        <v>13</v>
      </c>
      <c r="C16" s="58">
        <v>1316</v>
      </c>
      <c r="D16" s="56">
        <f t="shared" si="0"/>
        <v>0</v>
      </c>
      <c r="E16" s="69" t="str">
        <f t="shared" si="1"/>
        <v/>
      </c>
      <c r="F16" s="74">
        <v>4.2</v>
      </c>
      <c r="G16" s="56">
        <f t="shared" si="2"/>
        <v>0</v>
      </c>
      <c r="H16" s="69" t="str">
        <f t="shared" si="3"/>
        <v/>
      </c>
      <c r="I16" s="58">
        <v>8.6999999999999993</v>
      </c>
      <c r="J16" s="56">
        <f t="shared" si="4"/>
        <v>0</v>
      </c>
      <c r="K16" s="69" t="str">
        <f t="shared" si="5"/>
        <v/>
      </c>
      <c r="L16" s="74">
        <v>2.1</v>
      </c>
      <c r="M16" s="56">
        <f t="shared" si="6"/>
        <v>0</v>
      </c>
      <c r="N16" s="69" t="str">
        <f t="shared" si="7"/>
        <v/>
      </c>
      <c r="O16" s="58">
        <v>11</v>
      </c>
      <c r="P16" s="56">
        <f t="shared" si="8"/>
        <v>0</v>
      </c>
      <c r="Q16" s="69" t="str">
        <f t="shared" si="9"/>
        <v/>
      </c>
      <c r="R16" s="74">
        <v>9</v>
      </c>
      <c r="S16" s="56">
        <f t="shared" si="10"/>
        <v>0</v>
      </c>
      <c r="T16" s="69" t="str">
        <f t="shared" si="11"/>
        <v/>
      </c>
      <c r="U16" s="58">
        <v>12</v>
      </c>
      <c r="V16" s="56">
        <f t="shared" si="12"/>
        <v>0</v>
      </c>
      <c r="W16" s="69" t="str">
        <f t="shared" si="13"/>
        <v/>
      </c>
      <c r="X16" s="74">
        <f>3+2+1+3+1</f>
        <v>10</v>
      </c>
      <c r="Y16" s="56">
        <f t="shared" si="14"/>
        <v>0</v>
      </c>
      <c r="Z16" s="69" t="str">
        <f t="shared" si="15"/>
        <v/>
      </c>
      <c r="AA16" s="58" t="s">
        <v>59</v>
      </c>
      <c r="AB16" s="56">
        <f t="shared" si="16"/>
        <v>0</v>
      </c>
      <c r="AC16" s="69"/>
      <c r="AD16" s="72">
        <v>1</v>
      </c>
      <c r="AE16" s="56">
        <f t="shared" si="17"/>
        <v>0</v>
      </c>
      <c r="AF16" s="69" t="str">
        <f t="shared" si="18"/>
        <v/>
      </c>
      <c r="AG16" s="58">
        <v>1</v>
      </c>
      <c r="AH16" s="56">
        <f t="shared" si="19"/>
        <v>0</v>
      </c>
      <c r="AI16" s="59" t="str">
        <f t="shared" si="20"/>
        <v/>
      </c>
    </row>
    <row r="17" spans="1:35" x14ac:dyDescent="0.25">
      <c r="A17" s="147">
        <v>14</v>
      </c>
      <c r="B17" s="83" t="s">
        <v>14</v>
      </c>
      <c r="C17" s="58">
        <v>1317</v>
      </c>
      <c r="D17" s="56">
        <f t="shared" si="0"/>
        <v>0</v>
      </c>
      <c r="E17" s="69" t="str">
        <f t="shared" si="1"/>
        <v/>
      </c>
      <c r="F17" s="74">
        <v>5.2</v>
      </c>
      <c r="G17" s="56">
        <f t="shared" si="2"/>
        <v>0</v>
      </c>
      <c r="H17" s="69" t="str">
        <f t="shared" si="3"/>
        <v/>
      </c>
      <c r="I17" s="58">
        <v>45.7</v>
      </c>
      <c r="J17" s="56">
        <f t="shared" si="4"/>
        <v>1</v>
      </c>
      <c r="K17" s="68">
        <f t="shared" si="5"/>
        <v>2</v>
      </c>
      <c r="L17" s="74">
        <v>1.2</v>
      </c>
      <c r="M17" s="56">
        <f t="shared" si="6"/>
        <v>0</v>
      </c>
      <c r="N17" s="69" t="str">
        <f t="shared" si="7"/>
        <v/>
      </c>
      <c r="O17" s="58">
        <v>1380</v>
      </c>
      <c r="P17" s="56">
        <f t="shared" si="8"/>
        <v>0</v>
      </c>
      <c r="Q17" s="69" t="str">
        <f t="shared" si="9"/>
        <v/>
      </c>
      <c r="R17" s="74">
        <v>328</v>
      </c>
      <c r="S17" s="56">
        <f t="shared" si="10"/>
        <v>0</v>
      </c>
      <c r="T17" s="69" t="str">
        <f t="shared" si="11"/>
        <v/>
      </c>
      <c r="U17" s="58">
        <v>11</v>
      </c>
      <c r="V17" s="56">
        <f t="shared" si="12"/>
        <v>0</v>
      </c>
      <c r="W17" s="69" t="str">
        <f t="shared" si="13"/>
        <v/>
      </c>
      <c r="X17" s="74">
        <v>1</v>
      </c>
      <c r="Y17" s="56">
        <f t="shared" si="14"/>
        <v>0</v>
      </c>
      <c r="Z17" s="69" t="str">
        <f t="shared" si="15"/>
        <v/>
      </c>
      <c r="AA17" s="58" t="s">
        <v>59</v>
      </c>
      <c r="AB17" s="56">
        <f t="shared" si="16"/>
        <v>0</v>
      </c>
      <c r="AC17" s="69"/>
      <c r="AD17" s="72">
        <v>71</v>
      </c>
      <c r="AE17" s="56">
        <f t="shared" si="17"/>
        <v>1</v>
      </c>
      <c r="AF17" s="68">
        <f t="shared" si="18"/>
        <v>5</v>
      </c>
      <c r="AG17" s="58">
        <v>5</v>
      </c>
      <c r="AH17" s="56">
        <f t="shared" si="19"/>
        <v>0</v>
      </c>
      <c r="AI17" s="59" t="str">
        <f t="shared" si="20"/>
        <v/>
      </c>
    </row>
    <row r="18" spans="1:35" x14ac:dyDescent="0.25">
      <c r="A18" s="147">
        <v>15</v>
      </c>
      <c r="B18" s="83" t="s">
        <v>15</v>
      </c>
      <c r="C18" s="58">
        <v>1318</v>
      </c>
      <c r="D18" s="56">
        <f t="shared" si="0"/>
        <v>0</v>
      </c>
      <c r="E18" s="69" t="str">
        <f t="shared" si="1"/>
        <v/>
      </c>
      <c r="F18" s="74">
        <v>10.7</v>
      </c>
      <c r="G18" s="56">
        <f t="shared" si="2"/>
        <v>0</v>
      </c>
      <c r="H18" s="69" t="str">
        <f t="shared" si="3"/>
        <v/>
      </c>
      <c r="I18" s="58">
        <v>4</v>
      </c>
      <c r="J18" s="56">
        <f t="shared" si="4"/>
        <v>0</v>
      </c>
      <c r="K18" s="69" t="str">
        <f t="shared" si="5"/>
        <v/>
      </c>
      <c r="L18" s="74">
        <v>2.9</v>
      </c>
      <c r="M18" s="56">
        <f t="shared" si="6"/>
        <v>1</v>
      </c>
      <c r="N18" s="68">
        <f t="shared" si="7"/>
        <v>7</v>
      </c>
      <c r="O18" s="58">
        <v>23019</v>
      </c>
      <c r="P18" s="56">
        <f t="shared" si="8"/>
        <v>1</v>
      </c>
      <c r="Q18" s="68">
        <f t="shared" si="9"/>
        <v>4</v>
      </c>
      <c r="R18" s="74">
        <v>2967</v>
      </c>
      <c r="S18" s="56">
        <f t="shared" si="10"/>
        <v>1</v>
      </c>
      <c r="T18" s="68">
        <f t="shared" si="11"/>
        <v>5</v>
      </c>
      <c r="U18" s="58">
        <v>261</v>
      </c>
      <c r="V18" s="56">
        <f t="shared" si="12"/>
        <v>1</v>
      </c>
      <c r="W18" s="68">
        <f t="shared" si="13"/>
        <v>8</v>
      </c>
      <c r="X18" s="74">
        <f>26+38+27+16+11</f>
        <v>118</v>
      </c>
      <c r="Y18" s="56">
        <f t="shared" si="14"/>
        <v>1</v>
      </c>
      <c r="Z18" s="68">
        <f t="shared" si="15"/>
        <v>3</v>
      </c>
      <c r="AA18" s="58" t="s">
        <v>59</v>
      </c>
      <c r="AB18" s="56">
        <f t="shared" si="16"/>
        <v>0</v>
      </c>
      <c r="AC18" s="69"/>
      <c r="AD18" s="72">
        <v>0</v>
      </c>
      <c r="AE18" s="56">
        <f t="shared" si="17"/>
        <v>0</v>
      </c>
      <c r="AF18" s="69" t="str">
        <f t="shared" si="18"/>
        <v/>
      </c>
      <c r="AG18" s="58">
        <v>23</v>
      </c>
      <c r="AH18" s="56">
        <f t="shared" si="19"/>
        <v>0</v>
      </c>
      <c r="AI18" s="59" t="str">
        <f t="shared" si="20"/>
        <v/>
      </c>
    </row>
    <row r="19" spans="1:35" x14ac:dyDescent="0.25">
      <c r="A19" s="147">
        <v>16</v>
      </c>
      <c r="B19" s="83" t="s">
        <v>16</v>
      </c>
      <c r="C19" s="58">
        <v>1319</v>
      </c>
      <c r="D19" s="56">
        <f t="shared" si="0"/>
        <v>0</v>
      </c>
      <c r="E19" s="69" t="str">
        <f t="shared" si="1"/>
        <v/>
      </c>
      <c r="F19" s="74">
        <v>8.3000000000000007</v>
      </c>
      <c r="G19" s="56">
        <f t="shared" si="2"/>
        <v>0</v>
      </c>
      <c r="H19" s="69" t="str">
        <f t="shared" si="3"/>
        <v/>
      </c>
      <c r="I19" s="58">
        <v>2.6</v>
      </c>
      <c r="J19" s="56">
        <f t="shared" si="4"/>
        <v>0</v>
      </c>
      <c r="K19" s="69" t="str">
        <f t="shared" si="5"/>
        <v/>
      </c>
      <c r="L19" s="74">
        <v>1.9</v>
      </c>
      <c r="M19" s="56">
        <f t="shared" si="6"/>
        <v>0</v>
      </c>
      <c r="N19" s="69" t="str">
        <f t="shared" si="7"/>
        <v/>
      </c>
      <c r="O19" s="58">
        <v>4640</v>
      </c>
      <c r="P19" s="56">
        <f t="shared" si="8"/>
        <v>0</v>
      </c>
      <c r="Q19" s="69" t="str">
        <f t="shared" si="9"/>
        <v/>
      </c>
      <c r="R19" s="74">
        <v>788</v>
      </c>
      <c r="S19" s="56">
        <f t="shared" si="10"/>
        <v>0</v>
      </c>
      <c r="T19" s="69" t="str">
        <f t="shared" si="11"/>
        <v/>
      </c>
      <c r="U19" s="58">
        <v>129</v>
      </c>
      <c r="V19" s="56">
        <f t="shared" si="12"/>
        <v>0</v>
      </c>
      <c r="W19" s="69" t="str">
        <f t="shared" si="13"/>
        <v/>
      </c>
      <c r="X19" s="74">
        <f>9+2+5+4+11</f>
        <v>31</v>
      </c>
      <c r="Y19" s="56">
        <f t="shared" si="14"/>
        <v>0</v>
      </c>
      <c r="Z19" s="69" t="str">
        <f t="shared" si="15"/>
        <v/>
      </c>
      <c r="AA19" s="58" t="s">
        <v>59</v>
      </c>
      <c r="AB19" s="56">
        <f t="shared" si="16"/>
        <v>0</v>
      </c>
      <c r="AC19" s="69"/>
      <c r="AD19" s="72">
        <v>2</v>
      </c>
      <c r="AE19" s="56">
        <f t="shared" si="17"/>
        <v>0</v>
      </c>
      <c r="AF19" s="69" t="str">
        <f t="shared" si="18"/>
        <v/>
      </c>
      <c r="AG19" s="58">
        <v>20</v>
      </c>
      <c r="AH19" s="56">
        <f t="shared" si="19"/>
        <v>0</v>
      </c>
      <c r="AI19" s="59" t="str">
        <f t="shared" si="20"/>
        <v/>
      </c>
    </row>
    <row r="20" spans="1:35" x14ac:dyDescent="0.25">
      <c r="A20" s="147">
        <v>17</v>
      </c>
      <c r="B20" s="83" t="s">
        <v>17</v>
      </c>
      <c r="C20" s="58">
        <v>1320</v>
      </c>
      <c r="D20" s="56">
        <f t="shared" si="0"/>
        <v>0</v>
      </c>
      <c r="E20" s="69" t="str">
        <f t="shared" si="1"/>
        <v/>
      </c>
      <c r="F20" s="74">
        <v>12.8</v>
      </c>
      <c r="G20" s="56">
        <f t="shared" si="2"/>
        <v>0</v>
      </c>
      <c r="H20" s="69" t="str">
        <f t="shared" si="3"/>
        <v/>
      </c>
      <c r="I20" s="58">
        <v>3.9</v>
      </c>
      <c r="J20" s="56">
        <f t="shared" si="4"/>
        <v>0</v>
      </c>
      <c r="K20" s="69" t="str">
        <f t="shared" si="5"/>
        <v/>
      </c>
      <c r="L20" s="74">
        <v>2</v>
      </c>
      <c r="M20" s="56">
        <f t="shared" si="6"/>
        <v>0</v>
      </c>
      <c r="N20" s="69" t="str">
        <f t="shared" si="7"/>
        <v/>
      </c>
      <c r="O20" s="58">
        <v>9975</v>
      </c>
      <c r="P20" s="56">
        <f t="shared" si="8"/>
        <v>1</v>
      </c>
      <c r="Q20" s="68">
        <f t="shared" si="9"/>
        <v>9</v>
      </c>
      <c r="R20" s="74">
        <v>1471</v>
      </c>
      <c r="S20" s="56">
        <f t="shared" si="10"/>
        <v>1</v>
      </c>
      <c r="T20" s="68">
        <f t="shared" si="11"/>
        <v>6</v>
      </c>
      <c r="U20" s="58">
        <v>152</v>
      </c>
      <c r="V20" s="56">
        <f t="shared" si="12"/>
        <v>0</v>
      </c>
      <c r="W20" s="69" t="str">
        <f t="shared" si="13"/>
        <v/>
      </c>
      <c r="X20" s="74">
        <f>3+1+4+3</f>
        <v>11</v>
      </c>
      <c r="Y20" s="56">
        <f t="shared" si="14"/>
        <v>0</v>
      </c>
      <c r="Z20" s="69" t="str">
        <f t="shared" si="15"/>
        <v/>
      </c>
      <c r="AA20" s="58" t="s">
        <v>59</v>
      </c>
      <c r="AB20" s="56">
        <f t="shared" si="16"/>
        <v>0</v>
      </c>
      <c r="AC20" s="69"/>
      <c r="AD20" s="72">
        <v>6</v>
      </c>
      <c r="AE20" s="56">
        <f t="shared" si="17"/>
        <v>0</v>
      </c>
      <c r="AF20" s="69" t="str">
        <f t="shared" si="18"/>
        <v/>
      </c>
      <c r="AG20" s="58">
        <v>21</v>
      </c>
      <c r="AH20" s="56">
        <f t="shared" si="19"/>
        <v>0</v>
      </c>
      <c r="AI20" s="59" t="str">
        <f t="shared" si="20"/>
        <v/>
      </c>
    </row>
    <row r="21" spans="1:35" x14ac:dyDescent="0.25">
      <c r="A21" s="147">
        <v>18</v>
      </c>
      <c r="B21" s="83" t="s">
        <v>18</v>
      </c>
      <c r="C21" s="58">
        <v>1328</v>
      </c>
      <c r="D21" s="56">
        <f t="shared" si="0"/>
        <v>0</v>
      </c>
      <c r="E21" s="69" t="str">
        <f t="shared" si="1"/>
        <v/>
      </c>
      <c r="F21" s="74">
        <v>15.4</v>
      </c>
      <c r="G21" s="56">
        <f t="shared" si="2"/>
        <v>0</v>
      </c>
      <c r="H21" s="69" t="str">
        <f t="shared" si="3"/>
        <v/>
      </c>
      <c r="I21" s="58">
        <v>18.2</v>
      </c>
      <c r="J21" s="56">
        <f t="shared" si="4"/>
        <v>1</v>
      </c>
      <c r="K21" s="68">
        <f t="shared" si="5"/>
        <v>6</v>
      </c>
      <c r="L21" s="74">
        <v>2.4</v>
      </c>
      <c r="M21" s="56">
        <f t="shared" si="6"/>
        <v>0</v>
      </c>
      <c r="N21" s="69" t="str">
        <f t="shared" si="7"/>
        <v/>
      </c>
      <c r="O21" s="58">
        <v>1357</v>
      </c>
      <c r="P21" s="56">
        <f t="shared" si="8"/>
        <v>0</v>
      </c>
      <c r="Q21" s="69" t="str">
        <f t="shared" si="9"/>
        <v/>
      </c>
      <c r="R21" s="74">
        <v>197</v>
      </c>
      <c r="S21" s="56">
        <f t="shared" si="10"/>
        <v>0</v>
      </c>
      <c r="T21" s="69" t="str">
        <f t="shared" si="11"/>
        <v/>
      </c>
      <c r="U21" s="58">
        <v>21</v>
      </c>
      <c r="V21" s="56">
        <f t="shared" si="12"/>
        <v>0</v>
      </c>
      <c r="W21" s="69" t="str">
        <f t="shared" si="13"/>
        <v/>
      </c>
      <c r="X21" s="74" t="s">
        <v>31</v>
      </c>
      <c r="Y21" s="56">
        <f t="shared" si="14"/>
        <v>0</v>
      </c>
      <c r="Z21" s="69" t="str">
        <f t="shared" si="15"/>
        <v/>
      </c>
      <c r="AA21" s="58" t="s">
        <v>59</v>
      </c>
      <c r="AB21" s="56">
        <f t="shared" si="16"/>
        <v>0</v>
      </c>
      <c r="AC21" s="69"/>
      <c r="AD21" s="72">
        <v>1</v>
      </c>
      <c r="AE21" s="56">
        <f t="shared" si="17"/>
        <v>0</v>
      </c>
      <c r="AF21" s="69" t="str">
        <f t="shared" si="18"/>
        <v/>
      </c>
      <c r="AG21" s="58">
        <v>2</v>
      </c>
      <c r="AH21" s="56">
        <f t="shared" si="19"/>
        <v>0</v>
      </c>
      <c r="AI21" s="59" t="str">
        <f t="shared" si="20"/>
        <v/>
      </c>
    </row>
    <row r="22" spans="1:35" x14ac:dyDescent="0.25">
      <c r="A22" s="147">
        <v>19</v>
      </c>
      <c r="B22" s="83" t="s">
        <v>19</v>
      </c>
      <c r="C22" s="58">
        <v>1334</v>
      </c>
      <c r="D22" s="56">
        <f t="shared" si="0"/>
        <v>0</v>
      </c>
      <c r="E22" s="69" t="str">
        <f t="shared" si="1"/>
        <v/>
      </c>
      <c r="F22" s="74">
        <v>7.8</v>
      </c>
      <c r="G22" s="56">
        <f t="shared" si="2"/>
        <v>0</v>
      </c>
      <c r="H22" s="69" t="str">
        <f t="shared" si="3"/>
        <v/>
      </c>
      <c r="I22" s="58">
        <v>3.8</v>
      </c>
      <c r="J22" s="56">
        <f t="shared" si="4"/>
        <v>0</v>
      </c>
      <c r="K22" s="69" t="str">
        <f t="shared" si="5"/>
        <v/>
      </c>
      <c r="L22" s="74">
        <v>1.2</v>
      </c>
      <c r="M22" s="56">
        <f t="shared" si="6"/>
        <v>0</v>
      </c>
      <c r="N22" s="69" t="str">
        <f t="shared" si="7"/>
        <v/>
      </c>
      <c r="O22" s="58">
        <v>2164</v>
      </c>
      <c r="P22" s="56">
        <f t="shared" si="8"/>
        <v>0</v>
      </c>
      <c r="Q22" s="69" t="str">
        <f t="shared" si="9"/>
        <v/>
      </c>
      <c r="R22" s="74">
        <v>303</v>
      </c>
      <c r="S22" s="56">
        <f t="shared" si="10"/>
        <v>0</v>
      </c>
      <c r="T22" s="69" t="str">
        <f t="shared" si="11"/>
        <v/>
      </c>
      <c r="U22" s="58">
        <v>23</v>
      </c>
      <c r="V22" s="56">
        <f t="shared" si="12"/>
        <v>0</v>
      </c>
      <c r="W22" s="69" t="str">
        <f t="shared" si="13"/>
        <v/>
      </c>
      <c r="X22" s="74">
        <f>2+3+3+1</f>
        <v>9</v>
      </c>
      <c r="Y22" s="56">
        <f t="shared" si="14"/>
        <v>0</v>
      </c>
      <c r="Z22" s="69" t="str">
        <f t="shared" si="15"/>
        <v/>
      </c>
      <c r="AA22" s="58" t="s">
        <v>59</v>
      </c>
      <c r="AB22" s="56">
        <f t="shared" si="16"/>
        <v>0</v>
      </c>
      <c r="AC22" s="69"/>
      <c r="AD22" s="72">
        <v>131</v>
      </c>
      <c r="AE22" s="56">
        <f t="shared" si="17"/>
        <v>1</v>
      </c>
      <c r="AF22" s="68">
        <f t="shared" si="18"/>
        <v>3</v>
      </c>
      <c r="AG22" s="58">
        <v>14</v>
      </c>
      <c r="AH22" s="56">
        <f t="shared" si="19"/>
        <v>0</v>
      </c>
      <c r="AI22" s="59" t="str">
        <f t="shared" si="20"/>
        <v/>
      </c>
    </row>
    <row r="23" spans="1:35" x14ac:dyDescent="0.25">
      <c r="A23" s="147">
        <v>20</v>
      </c>
      <c r="B23" s="83" t="s">
        <v>20</v>
      </c>
      <c r="C23" s="58">
        <v>1467</v>
      </c>
      <c r="D23" s="56">
        <f t="shared" si="0"/>
        <v>0</v>
      </c>
      <c r="E23" s="69" t="str">
        <f t="shared" si="1"/>
        <v/>
      </c>
      <c r="F23" s="74">
        <v>7.6</v>
      </c>
      <c r="G23" s="56">
        <f t="shared" si="2"/>
        <v>0</v>
      </c>
      <c r="H23" s="69" t="str">
        <f t="shared" si="3"/>
        <v/>
      </c>
      <c r="I23" s="58">
        <v>4.8</v>
      </c>
      <c r="J23" s="56">
        <f t="shared" si="4"/>
        <v>0</v>
      </c>
      <c r="K23" s="69" t="str">
        <f t="shared" si="5"/>
        <v/>
      </c>
      <c r="L23" s="74">
        <v>2.2999999999999998</v>
      </c>
      <c r="M23" s="56">
        <f t="shared" si="6"/>
        <v>0</v>
      </c>
      <c r="N23" s="69" t="str">
        <f t="shared" si="7"/>
        <v/>
      </c>
      <c r="O23" s="58">
        <v>10495</v>
      </c>
      <c r="P23" s="56">
        <f t="shared" si="8"/>
        <v>1</v>
      </c>
      <c r="Q23" s="68">
        <f t="shared" si="9"/>
        <v>8</v>
      </c>
      <c r="R23" s="74">
        <v>1183</v>
      </c>
      <c r="S23" s="56">
        <f t="shared" si="10"/>
        <v>0</v>
      </c>
      <c r="T23" s="69" t="str">
        <f t="shared" si="11"/>
        <v/>
      </c>
      <c r="U23" s="58">
        <v>258</v>
      </c>
      <c r="V23" s="56">
        <f t="shared" si="12"/>
        <v>1</v>
      </c>
      <c r="W23" s="68">
        <f t="shared" si="13"/>
        <v>9</v>
      </c>
      <c r="X23" s="74">
        <f>3+6+3+4+6</f>
        <v>22</v>
      </c>
      <c r="Y23" s="56">
        <f t="shared" si="14"/>
        <v>0</v>
      </c>
      <c r="Z23" s="69" t="str">
        <f t="shared" si="15"/>
        <v/>
      </c>
      <c r="AA23" s="58" t="s">
        <v>59</v>
      </c>
      <c r="AB23" s="56">
        <f t="shared" si="16"/>
        <v>0</v>
      </c>
      <c r="AC23" s="69"/>
      <c r="AD23" s="72">
        <v>5</v>
      </c>
      <c r="AE23" s="56">
        <f t="shared" si="17"/>
        <v>0</v>
      </c>
      <c r="AF23" s="69" t="str">
        <f t="shared" si="18"/>
        <v/>
      </c>
      <c r="AG23" s="58">
        <v>67</v>
      </c>
      <c r="AH23" s="56">
        <f t="shared" si="19"/>
        <v>1</v>
      </c>
      <c r="AI23" s="2">
        <f t="shared" si="20"/>
        <v>4</v>
      </c>
    </row>
    <row r="24" spans="1:35" x14ac:dyDescent="0.25">
      <c r="A24" s="147">
        <v>21</v>
      </c>
      <c r="B24" s="83" t="s">
        <v>21</v>
      </c>
      <c r="C24" s="58">
        <v>1471</v>
      </c>
      <c r="D24" s="56">
        <f t="shared" si="0"/>
        <v>0</v>
      </c>
      <c r="E24" s="69" t="str">
        <f t="shared" si="1"/>
        <v/>
      </c>
      <c r="F24" s="74">
        <v>3.6</v>
      </c>
      <c r="G24" s="56">
        <f t="shared" si="2"/>
        <v>0</v>
      </c>
      <c r="H24" s="69" t="str">
        <f t="shared" si="3"/>
        <v/>
      </c>
      <c r="I24" s="58">
        <v>7.5</v>
      </c>
      <c r="J24" s="56">
        <f t="shared" si="4"/>
        <v>0</v>
      </c>
      <c r="K24" s="69" t="str">
        <f t="shared" si="5"/>
        <v/>
      </c>
      <c r="L24" s="74">
        <v>4.8</v>
      </c>
      <c r="M24" s="56">
        <f t="shared" si="6"/>
        <v>1</v>
      </c>
      <c r="N24" s="68">
        <f t="shared" si="7"/>
        <v>1</v>
      </c>
      <c r="O24" s="58">
        <v>3919</v>
      </c>
      <c r="P24" s="56">
        <f t="shared" si="8"/>
        <v>0</v>
      </c>
      <c r="Q24" s="69" t="str">
        <f t="shared" si="9"/>
        <v/>
      </c>
      <c r="R24" s="74">
        <v>735</v>
      </c>
      <c r="S24" s="56">
        <f t="shared" si="10"/>
        <v>0</v>
      </c>
      <c r="T24" s="69" t="str">
        <f t="shared" si="11"/>
        <v/>
      </c>
      <c r="U24" s="58">
        <v>266</v>
      </c>
      <c r="V24" s="56">
        <f t="shared" si="12"/>
        <v>1</v>
      </c>
      <c r="W24" s="68">
        <f t="shared" si="13"/>
        <v>7</v>
      </c>
      <c r="X24" s="74">
        <f>10+6+8+12+11</f>
        <v>47</v>
      </c>
      <c r="Y24" s="56">
        <f t="shared" si="14"/>
        <v>1</v>
      </c>
      <c r="Z24" s="68">
        <f t="shared" si="15"/>
        <v>7</v>
      </c>
      <c r="AA24" s="58" t="s">
        <v>59</v>
      </c>
      <c r="AB24" s="56">
        <f t="shared" si="16"/>
        <v>0</v>
      </c>
      <c r="AC24" s="69"/>
      <c r="AD24" s="72">
        <v>31</v>
      </c>
      <c r="AE24" s="56">
        <f t="shared" si="17"/>
        <v>1</v>
      </c>
      <c r="AF24" s="68">
        <f t="shared" si="18"/>
        <v>10</v>
      </c>
      <c r="AG24" s="58">
        <v>45</v>
      </c>
      <c r="AH24" s="56">
        <f t="shared" si="19"/>
        <v>1</v>
      </c>
      <c r="AI24" s="2">
        <f t="shared" si="20"/>
        <v>6</v>
      </c>
    </row>
    <row r="25" spans="1:35" x14ac:dyDescent="0.25">
      <c r="A25" s="147">
        <v>22</v>
      </c>
      <c r="B25" s="83" t="s">
        <v>22</v>
      </c>
      <c r="C25" s="58">
        <v>1477</v>
      </c>
      <c r="D25" s="56">
        <f t="shared" si="0"/>
        <v>0</v>
      </c>
      <c r="E25" s="69" t="str">
        <f t="shared" si="1"/>
        <v/>
      </c>
      <c r="F25" s="74">
        <v>17.399999999999999</v>
      </c>
      <c r="G25" s="56">
        <f t="shared" si="2"/>
        <v>0</v>
      </c>
      <c r="H25" s="69" t="str">
        <f t="shared" si="3"/>
        <v/>
      </c>
      <c r="I25" s="58">
        <v>3.4</v>
      </c>
      <c r="J25" s="56">
        <f t="shared" si="4"/>
        <v>0</v>
      </c>
      <c r="K25" s="69" t="str">
        <f t="shared" si="5"/>
        <v/>
      </c>
      <c r="L25" s="74">
        <v>1.4</v>
      </c>
      <c r="M25" s="56">
        <f t="shared" si="6"/>
        <v>0</v>
      </c>
      <c r="N25" s="69" t="str">
        <f t="shared" si="7"/>
        <v/>
      </c>
      <c r="O25" s="58">
        <v>3608</v>
      </c>
      <c r="P25" s="56">
        <f t="shared" si="8"/>
        <v>0</v>
      </c>
      <c r="Q25" s="69" t="str">
        <f t="shared" si="9"/>
        <v/>
      </c>
      <c r="R25" s="74">
        <v>746</v>
      </c>
      <c r="S25" s="56">
        <f t="shared" si="10"/>
        <v>0</v>
      </c>
      <c r="T25" s="69" t="str">
        <f t="shared" si="11"/>
        <v/>
      </c>
      <c r="U25" s="58">
        <v>4</v>
      </c>
      <c r="V25" s="56">
        <f t="shared" si="12"/>
        <v>0</v>
      </c>
      <c r="W25" s="69" t="str">
        <f t="shared" si="13"/>
        <v/>
      </c>
      <c r="X25" s="74">
        <v>1</v>
      </c>
      <c r="Y25" s="56">
        <f t="shared" si="14"/>
        <v>0</v>
      </c>
      <c r="Z25" s="69" t="str">
        <f t="shared" si="15"/>
        <v/>
      </c>
      <c r="AA25" s="58" t="s">
        <v>59</v>
      </c>
      <c r="AB25" s="56">
        <f t="shared" si="16"/>
        <v>0</v>
      </c>
      <c r="AC25" s="69"/>
      <c r="AD25" s="72">
        <v>13</v>
      </c>
      <c r="AE25" s="56">
        <f t="shared" si="17"/>
        <v>0</v>
      </c>
      <c r="AF25" s="69" t="str">
        <f t="shared" si="18"/>
        <v/>
      </c>
      <c r="AG25" s="58">
        <v>2</v>
      </c>
      <c r="AH25" s="56">
        <f t="shared" si="19"/>
        <v>0</v>
      </c>
      <c r="AI25" s="59" t="str">
        <f t="shared" si="20"/>
        <v/>
      </c>
    </row>
    <row r="26" spans="1:35" x14ac:dyDescent="0.25">
      <c r="A26" s="147">
        <v>23</v>
      </c>
      <c r="B26" s="84" t="s">
        <v>23</v>
      </c>
      <c r="C26" s="58" t="s">
        <v>31</v>
      </c>
      <c r="D26" s="56">
        <f t="shared" si="0"/>
        <v>0</v>
      </c>
      <c r="E26" s="69" t="str">
        <f t="shared" si="1"/>
        <v/>
      </c>
      <c r="F26" s="74" t="s">
        <v>32</v>
      </c>
      <c r="G26" s="56">
        <f t="shared" si="2"/>
        <v>0</v>
      </c>
      <c r="H26" s="69" t="str">
        <f t="shared" si="3"/>
        <v/>
      </c>
      <c r="I26" s="58" t="s">
        <v>32</v>
      </c>
      <c r="J26" s="56">
        <f t="shared" si="4"/>
        <v>0</v>
      </c>
      <c r="K26" s="69" t="str">
        <f t="shared" si="5"/>
        <v/>
      </c>
      <c r="L26" s="74" t="s">
        <v>31</v>
      </c>
      <c r="M26" s="56">
        <f t="shared" si="6"/>
        <v>0</v>
      </c>
      <c r="N26" s="69" t="str">
        <f t="shared" si="7"/>
        <v/>
      </c>
      <c r="O26" s="58">
        <v>2812</v>
      </c>
      <c r="P26" s="56">
        <f t="shared" si="8"/>
        <v>0</v>
      </c>
      <c r="Q26" s="69" t="str">
        <f t="shared" si="9"/>
        <v/>
      </c>
      <c r="R26" s="74">
        <v>617</v>
      </c>
      <c r="S26" s="56">
        <f t="shared" si="10"/>
        <v>0</v>
      </c>
      <c r="T26" s="69" t="str">
        <f t="shared" si="11"/>
        <v/>
      </c>
      <c r="U26" s="58">
        <v>120</v>
      </c>
      <c r="V26" s="56">
        <f t="shared" si="12"/>
        <v>0</v>
      </c>
      <c r="W26" s="69" t="str">
        <f t="shared" si="13"/>
        <v/>
      </c>
      <c r="X26" s="74">
        <v>6</v>
      </c>
      <c r="Y26" s="56">
        <f t="shared" si="14"/>
        <v>0</v>
      </c>
      <c r="Z26" s="69" t="str">
        <f t="shared" si="15"/>
        <v/>
      </c>
      <c r="AA26" s="58" t="s">
        <v>59</v>
      </c>
      <c r="AB26" s="56">
        <f t="shared" si="16"/>
        <v>0</v>
      </c>
      <c r="AC26" s="69"/>
      <c r="AD26" s="72">
        <v>59</v>
      </c>
      <c r="AE26" s="56">
        <f t="shared" si="17"/>
        <v>1</v>
      </c>
      <c r="AF26" s="68">
        <f t="shared" si="18"/>
        <v>6</v>
      </c>
      <c r="AG26" s="58">
        <v>21</v>
      </c>
      <c r="AH26" s="56">
        <f t="shared" si="19"/>
        <v>0</v>
      </c>
      <c r="AI26" s="59" t="str">
        <f t="shared" si="20"/>
        <v/>
      </c>
    </row>
    <row r="27" spans="1:35" x14ac:dyDescent="0.25">
      <c r="A27" s="147">
        <v>24</v>
      </c>
      <c r="B27" s="84" t="s">
        <v>24</v>
      </c>
      <c r="C27" s="58" t="s">
        <v>32</v>
      </c>
      <c r="D27" s="56">
        <f t="shared" si="0"/>
        <v>0</v>
      </c>
      <c r="E27" s="69" t="str">
        <f t="shared" si="1"/>
        <v/>
      </c>
      <c r="F27" s="74" t="s">
        <v>32</v>
      </c>
      <c r="G27" s="56">
        <f t="shared" si="2"/>
        <v>0</v>
      </c>
      <c r="H27" s="69" t="str">
        <f t="shared" si="3"/>
        <v/>
      </c>
      <c r="I27" s="58" t="s">
        <v>32</v>
      </c>
      <c r="J27" s="56">
        <f t="shared" si="4"/>
        <v>0</v>
      </c>
      <c r="K27" s="69" t="str">
        <f t="shared" si="5"/>
        <v/>
      </c>
      <c r="L27" s="74" t="s">
        <v>31</v>
      </c>
      <c r="M27" s="56">
        <f t="shared" si="6"/>
        <v>0</v>
      </c>
      <c r="N27" s="69" t="str">
        <f t="shared" si="7"/>
        <v/>
      </c>
      <c r="O27" s="58">
        <v>1348</v>
      </c>
      <c r="P27" s="56">
        <f t="shared" si="8"/>
        <v>0</v>
      </c>
      <c r="Q27" s="69" t="str">
        <f t="shared" si="9"/>
        <v/>
      </c>
      <c r="R27" s="74">
        <v>860</v>
      </c>
      <c r="S27" s="56">
        <f t="shared" si="10"/>
        <v>0</v>
      </c>
      <c r="T27" s="69" t="str">
        <f t="shared" si="11"/>
        <v/>
      </c>
      <c r="U27" s="58">
        <v>8</v>
      </c>
      <c r="V27" s="56">
        <f t="shared" si="12"/>
        <v>0</v>
      </c>
      <c r="W27" s="69" t="str">
        <f t="shared" si="13"/>
        <v/>
      </c>
      <c r="X27" s="74" t="s">
        <v>31</v>
      </c>
      <c r="Y27" s="56">
        <f t="shared" si="14"/>
        <v>0</v>
      </c>
      <c r="Z27" s="69" t="str">
        <f t="shared" si="15"/>
        <v/>
      </c>
      <c r="AA27" s="58" t="s">
        <v>59</v>
      </c>
      <c r="AB27" s="56">
        <f t="shared" si="16"/>
        <v>0</v>
      </c>
      <c r="AC27" s="69"/>
      <c r="AD27" s="72">
        <v>46</v>
      </c>
      <c r="AE27" s="56">
        <f t="shared" si="17"/>
        <v>1</v>
      </c>
      <c r="AF27" s="68">
        <f t="shared" si="18"/>
        <v>7</v>
      </c>
      <c r="AG27" s="58">
        <v>0</v>
      </c>
      <c r="AH27" s="56">
        <f t="shared" si="19"/>
        <v>0</v>
      </c>
      <c r="AI27" s="59" t="str">
        <f t="shared" si="20"/>
        <v/>
      </c>
    </row>
    <row r="28" spans="1:35" ht="15.75" thickBot="1" x14ac:dyDescent="0.3">
      <c r="A28" s="148">
        <v>25</v>
      </c>
      <c r="B28" s="85" t="s">
        <v>25</v>
      </c>
      <c r="C28" s="61" t="s">
        <v>32</v>
      </c>
      <c r="D28" s="62">
        <f t="shared" si="0"/>
        <v>0</v>
      </c>
      <c r="E28" s="70" t="str">
        <f t="shared" si="1"/>
        <v/>
      </c>
      <c r="F28" s="75" t="s">
        <v>32</v>
      </c>
      <c r="G28" s="62">
        <f t="shared" si="2"/>
        <v>0</v>
      </c>
      <c r="H28" s="70" t="str">
        <f t="shared" si="3"/>
        <v/>
      </c>
      <c r="I28" s="61" t="s">
        <v>32</v>
      </c>
      <c r="J28" s="62">
        <f t="shared" si="4"/>
        <v>0</v>
      </c>
      <c r="K28" s="70" t="str">
        <f t="shared" si="5"/>
        <v/>
      </c>
      <c r="L28" s="75" t="s">
        <v>31</v>
      </c>
      <c r="M28" s="62">
        <f t="shared" si="6"/>
        <v>0</v>
      </c>
      <c r="N28" s="70" t="str">
        <f>IF(M28=1, COUNTIFS($M$4:$M$28, 1, $L$4:$L$28, "&gt;"&amp;L28)+1, "")</f>
        <v/>
      </c>
      <c r="O28" s="61">
        <v>1257</v>
      </c>
      <c r="P28" s="62">
        <f t="shared" si="8"/>
        <v>0</v>
      </c>
      <c r="Q28" s="70" t="str">
        <f t="shared" si="9"/>
        <v/>
      </c>
      <c r="R28" s="75">
        <v>482</v>
      </c>
      <c r="S28" s="62">
        <f t="shared" si="10"/>
        <v>0</v>
      </c>
      <c r="T28" s="70" t="str">
        <f t="shared" si="11"/>
        <v/>
      </c>
      <c r="U28" s="61">
        <v>18</v>
      </c>
      <c r="V28" s="62">
        <f t="shared" si="12"/>
        <v>0</v>
      </c>
      <c r="W28" s="70" t="str">
        <f t="shared" si="13"/>
        <v/>
      </c>
      <c r="X28" s="75" t="s">
        <v>31</v>
      </c>
      <c r="Y28" s="62">
        <f t="shared" si="14"/>
        <v>0</v>
      </c>
      <c r="Z28" s="70" t="str">
        <f t="shared" si="15"/>
        <v/>
      </c>
      <c r="AA28" s="61" t="s">
        <v>59</v>
      </c>
      <c r="AB28" s="62">
        <f t="shared" si="16"/>
        <v>0</v>
      </c>
      <c r="AC28" s="70"/>
      <c r="AD28" s="81">
        <v>7</v>
      </c>
      <c r="AE28" s="62">
        <f t="shared" si="17"/>
        <v>0</v>
      </c>
      <c r="AF28" s="70" t="str">
        <f>IF(AE28=1,COUNTIFS($AE$4:$AE$28,1,$AD$4:$AD$28,"&gt;"&amp;AD28)+1,"")</f>
        <v/>
      </c>
      <c r="AG28" s="121">
        <v>6</v>
      </c>
      <c r="AH28" s="125">
        <f t="shared" si="19"/>
        <v>0</v>
      </c>
      <c r="AI28" s="60" t="str">
        <f t="shared" si="20"/>
        <v/>
      </c>
    </row>
    <row r="29" spans="1:35" x14ac:dyDescent="0.25">
      <c r="C29" s="63" t="s">
        <v>76</v>
      </c>
      <c r="D29" s="64">
        <f>_xlfn.MAXIFS(C4:C28, D4:D28,1)</f>
        <v>986</v>
      </c>
      <c r="E29" s="47" t="str">
        <f t="shared" si="1"/>
        <v/>
      </c>
      <c r="F29" s="76" t="s">
        <v>76</v>
      </c>
      <c r="G29" s="77">
        <f>_xlfn.MAXIFS(F4:F28,G4:G28,1)</f>
        <v>95.9</v>
      </c>
      <c r="H29" s="46" t="str">
        <f t="shared" si="3"/>
        <v/>
      </c>
      <c r="I29" s="63" t="s">
        <v>76</v>
      </c>
      <c r="J29" s="77">
        <f>_xlfn.MAXIFS(I4:I28,J4:J28,1)</f>
        <v>51.1</v>
      </c>
      <c r="K29" s="46" t="str">
        <f t="shared" si="5"/>
        <v/>
      </c>
      <c r="L29" s="76" t="s">
        <v>76</v>
      </c>
      <c r="M29" s="77">
        <f>_xlfn.MAXIFS(L4:L28,M4:M28,1)</f>
        <v>4.8</v>
      </c>
      <c r="N29" s="46" t="str">
        <f>IF(M29=1, COUNTIFS($M$4:$M$28, 1, $L$4:$L$28, "&gt;"&amp;L29)+1, "")</f>
        <v/>
      </c>
      <c r="O29" s="63" t="s">
        <v>76</v>
      </c>
      <c r="P29" s="77">
        <f>_xlfn.MAXIFS(O4:O28,P4:P28,1)</f>
        <v>55098</v>
      </c>
      <c r="R29" s="76" t="s">
        <v>76</v>
      </c>
      <c r="S29" s="77">
        <f>_xlfn.MAXIFS(R4:R28,S4:S28,1)</f>
        <v>7529</v>
      </c>
      <c r="U29" s="63" t="s">
        <v>76</v>
      </c>
      <c r="V29" s="77">
        <f>_xlfn.MAXIFS(U4:U28,V4:V28,1)</f>
        <v>1654</v>
      </c>
      <c r="X29" s="76" t="s">
        <v>76</v>
      </c>
      <c r="Y29" s="77">
        <f>_xlfn.MAXIFS(X4:X28,Y4:Y28,1)</f>
        <v>249</v>
      </c>
      <c r="Z29" s="46" t="str">
        <f t="shared" si="15"/>
        <v/>
      </c>
      <c r="AA29" s="63" t="s">
        <v>76</v>
      </c>
      <c r="AB29" s="77" t="s">
        <v>31</v>
      </c>
      <c r="AD29" s="76" t="s">
        <v>76</v>
      </c>
      <c r="AE29" s="77">
        <f>_xlfn.MAXIFS(AD4:AD28,AE4:AE28,1)</f>
        <v>181</v>
      </c>
      <c r="AG29" s="63" t="s">
        <v>76</v>
      </c>
      <c r="AH29" s="77">
        <f>_xlfn.MAXIFS(AG4:AG28,AH4:AH28,1)</f>
        <v>146</v>
      </c>
    </row>
    <row r="30" spans="1:35" ht="15.75" thickBot="1" x14ac:dyDescent="0.3">
      <c r="C30" s="65" t="s">
        <v>77</v>
      </c>
      <c r="D30" s="66">
        <f>_xlfn.MINIFS(C4:C28,D4:D28,1)</f>
        <v>136</v>
      </c>
      <c r="E30" s="47" t="str">
        <f t="shared" si="1"/>
        <v/>
      </c>
      <c r="F30" s="78" t="s">
        <v>77</v>
      </c>
      <c r="G30" s="79">
        <f>_xlfn.MINIFS(F4:F28,G4:G28,1)</f>
        <v>29.7</v>
      </c>
      <c r="H30" s="46" t="str">
        <f t="shared" si="3"/>
        <v/>
      </c>
      <c r="I30" s="65" t="s">
        <v>77</v>
      </c>
      <c r="J30" s="79">
        <f>_xlfn.MINIFS(I4:I28,J4:J28,1)</f>
        <v>18.2</v>
      </c>
      <c r="K30" s="46" t="str">
        <f t="shared" si="5"/>
        <v/>
      </c>
      <c r="L30" s="78" t="s">
        <v>77</v>
      </c>
      <c r="M30" s="79">
        <f>_xlfn.MINIFS(L4:L28,M4:M28,1)</f>
        <v>2.7</v>
      </c>
      <c r="N30" s="46" t="str">
        <f>IF(M30=1, COUNTIFS($M$4:$M$28, 1, $L$4:$L$28, "&gt;"&amp;L30)+1, "")</f>
        <v/>
      </c>
      <c r="O30" s="65" t="s">
        <v>77</v>
      </c>
      <c r="P30" s="79">
        <f>_xlfn.MINIFS(O4:O28,P4:P28,1)</f>
        <v>9975</v>
      </c>
      <c r="R30" s="78" t="s">
        <v>77</v>
      </c>
      <c r="S30" s="79">
        <f>_xlfn.MINIFS(R4:R28,S4:S28,1)</f>
        <v>1471</v>
      </c>
      <c r="U30" s="65" t="s">
        <v>77</v>
      </c>
      <c r="V30" s="79">
        <f>_xlfn.MINIFS(U4:U28,V4:V28,1)</f>
        <v>258</v>
      </c>
      <c r="X30" s="78" t="s">
        <v>77</v>
      </c>
      <c r="Y30" s="79">
        <f>_xlfn.MINIFS(X4:X28,Y4:Y28,1)</f>
        <v>41</v>
      </c>
      <c r="Z30" s="46" t="str">
        <f t="shared" si="15"/>
        <v/>
      </c>
      <c r="AA30" s="65" t="s">
        <v>77</v>
      </c>
      <c r="AB30" s="79" t="s">
        <v>31</v>
      </c>
      <c r="AD30" s="78" t="s">
        <v>77</v>
      </c>
      <c r="AE30" s="79">
        <f>_xlfn.MINIFS(AD4:AD28,AE4:AE28,1)</f>
        <v>31</v>
      </c>
      <c r="AG30" s="65" t="s">
        <v>77</v>
      </c>
      <c r="AH30" s="79">
        <f>_xlfn.MINIFS(AG4:AG28,AH4:AH28,1)</f>
        <v>32</v>
      </c>
    </row>
    <row r="31" spans="1:35" ht="15.75" thickBot="1" x14ac:dyDescent="0.3">
      <c r="D31" s="51"/>
      <c r="AH31" s="46"/>
    </row>
    <row r="32" spans="1:35" ht="19.5" thickBot="1" x14ac:dyDescent="0.35">
      <c r="B32" s="188" t="s">
        <v>45</v>
      </c>
      <c r="C32" s="176" t="s">
        <v>90</v>
      </c>
      <c r="D32" s="177"/>
      <c r="E32" s="177"/>
      <c r="F32" s="177"/>
      <c r="G32" s="177"/>
      <c r="H32" s="177"/>
      <c r="I32" s="177"/>
      <c r="J32" s="177"/>
      <c r="K32" s="177"/>
      <c r="L32" s="177"/>
      <c r="M32" s="178"/>
    </row>
    <row r="33" spans="1:17" ht="15.75" thickBot="1" x14ac:dyDescent="0.3">
      <c r="B33" s="189"/>
      <c r="C33" s="145" t="s">
        <v>78</v>
      </c>
      <c r="D33" s="125" t="s">
        <v>79</v>
      </c>
      <c r="E33" s="125" t="s">
        <v>80</v>
      </c>
      <c r="F33" s="125" t="s">
        <v>81</v>
      </c>
      <c r="G33" s="125" t="s">
        <v>82</v>
      </c>
      <c r="H33" s="125" t="s">
        <v>83</v>
      </c>
      <c r="I33" s="125" t="s">
        <v>84</v>
      </c>
      <c r="J33" s="125" t="s">
        <v>85</v>
      </c>
      <c r="K33" s="125" t="s">
        <v>86</v>
      </c>
      <c r="L33" s="125" t="s">
        <v>87</v>
      </c>
      <c r="M33" s="66" t="s">
        <v>238</v>
      </c>
      <c r="N33" s="149" t="s">
        <v>88</v>
      </c>
      <c r="O33" s="140" t="s">
        <v>89</v>
      </c>
      <c r="P33" s="140" t="s">
        <v>29</v>
      </c>
      <c r="Q33" s="141" t="s">
        <v>30</v>
      </c>
    </row>
    <row r="34" spans="1:17" x14ac:dyDescent="0.25">
      <c r="A34" s="86">
        <v>1</v>
      </c>
      <c r="B34" s="93" t="s">
        <v>1</v>
      </c>
      <c r="C34" s="142">
        <f>IF(AND(ISNUMBER(C4), C4&lt;=$D$29), (C4-$D$29)/($D$30-$D$29)*100,"")</f>
        <v>100</v>
      </c>
      <c r="D34" s="143">
        <f>IF(AND(ISNUMBER(C4),F4&gt;=$G$30),((F4-$G$30)/($G$29-$G$30))*100,"")</f>
        <v>100</v>
      </c>
      <c r="E34" s="143" t="str">
        <f>IF(AND(ISNUMBER(I4),I4&gt;=$J$30),(I4-$J$30)/($J$29-$J$30)*100,"")</f>
        <v/>
      </c>
      <c r="F34" s="143">
        <f>IF(AND(ISNUMBER(L4),L4&gt;=$M$30),(L4-$M$30)/($M$29-$M$30)*100,"")</f>
        <v>66.666666666666657</v>
      </c>
      <c r="G34" s="143">
        <f>IF(AND(ISNUMBER(O4),O4&gt;=$P$30),(O4-$P$30)/($P$29-$P$30)*100,"")</f>
        <v>49.790572435343392</v>
      </c>
      <c r="H34" s="143">
        <f>IF(AND(ISNUMBER(R4),R4&gt;=$S$30),(R4-$S$30)/($S$29-$S$30)*100,"")</f>
        <v>66.49059095411026</v>
      </c>
      <c r="I34" s="143">
        <f>IF(AND(ISNUMBER(U4),U4&gt;=$V$30),(U4-$V$30)/($V$29-$V$30)*100,"")</f>
        <v>100</v>
      </c>
      <c r="J34" s="143">
        <f>IF(AND(ISNUMBER(X4),X4&gt;=$Y$30),(X4-$Y$30)/($Y$29-$Y$30)*100,"")</f>
        <v>100</v>
      </c>
      <c r="K34" s="143"/>
      <c r="L34" s="143">
        <f>IF(AND(ISNUMBER(AD4),AD4&gt;=$AE$30),(AD4-$AE$30)/($AE$29-$AE$30)*100,"")</f>
        <v>4.666666666666667</v>
      </c>
      <c r="M34" s="144">
        <f>IF(AND(AG4&gt;=$AH$30, ISNUMBER(AG4)), ((AG4-$AH$30)/($AH$29-$AH$30))*100, "")</f>
        <v>50</v>
      </c>
      <c r="N34" s="137">
        <f>SUM(C34:M34)</f>
        <v>637.61449672278684</v>
      </c>
      <c r="O34" s="89">
        <f>N34/11</f>
        <v>57.964954247526073</v>
      </c>
      <c r="P34" s="50">
        <f>IF(ISNUMBER(O34), IF(O34&gt;0, 1,0), 0)</f>
        <v>1</v>
      </c>
      <c r="Q34" s="2">
        <f t="shared" ref="Q34:Q58" si="21">IF(P34=1, COUNTIFS($P$34:$P$58, 1, $O$34:$O$58, "&gt;"&amp;O34)+1, "")</f>
        <v>1</v>
      </c>
    </row>
    <row r="35" spans="1:17" x14ac:dyDescent="0.25">
      <c r="A35" s="87">
        <v>2</v>
      </c>
      <c r="B35" s="52" t="s">
        <v>2</v>
      </c>
      <c r="C35" s="137">
        <f t="shared" ref="C35:C58" si="22">IF(AND(ISNUMBER(C5), C5&lt;=$D$29), (C5-$D$29)/($D$30-$D$29)*100,"")</f>
        <v>94</v>
      </c>
      <c r="D35" s="89">
        <f t="shared" ref="D35:D58" si="23">IF(AND(ISNUMBER(C5),F5&gt;=$G$30),((F5-$G$30)/($G$29-$G$30))*100,"")</f>
        <v>96.978851963746223</v>
      </c>
      <c r="E35" s="89">
        <f t="shared" ref="E35:E58" si="24">IF(AND(ISNUMBER(I5),I5&gt;=$J$30),(I5-$J$30)/($J$29-$J$30)*100,"")</f>
        <v>19.148936170212767</v>
      </c>
      <c r="F35" s="89">
        <f t="shared" ref="F35:F58" si="25">IF(AND(ISNUMBER(L5),L5&gt;=$M$30),(L5-$M$30)/($M$29-$M$30)*100,"")</f>
        <v>100</v>
      </c>
      <c r="G35" s="89">
        <f t="shared" ref="G35:G58" si="26">IF(AND(ISNUMBER(O5),O5&gt;=$P$30),(O5-$P$30)/($P$29-$P$30)*100,"")</f>
        <v>18.352059925093634</v>
      </c>
      <c r="H35" s="89">
        <f t="shared" ref="H35:H58" si="27">IF(AND(ISNUMBER(R5),R5&gt;=$S$30),(R5-$S$30)/($S$29-$S$30)*100,"")</f>
        <v>63.007593265103992</v>
      </c>
      <c r="I35" s="89">
        <f t="shared" ref="I35:I58" si="28">IF(AND(ISNUMBER(U5),U5&gt;=$V$30),(U5-$V$30)/($V$29-$V$30)*100,"")</f>
        <v>1.6475644699140399</v>
      </c>
      <c r="J35" s="89">
        <f t="shared" ref="J35:J58" si="29">IF(AND(ISNUMBER(X5),X5&gt;=$Y$30),(X5-$Y$30)/($Y$29-$Y$30)*100,"")</f>
        <v>3.8461538461538463</v>
      </c>
      <c r="K35" s="89"/>
      <c r="L35" s="89">
        <f t="shared" ref="L35:L58" si="30">IF(AND(ISNUMBER(AD5),AD5&gt;=$AE$30),(AD5-$AE$30)/($AE$29-$AE$30)*100,"")</f>
        <v>92</v>
      </c>
      <c r="M35" s="2">
        <f t="shared" ref="M35:M58" si="31">IF(AND(AG5&gt;=$AH$30, ISNUMBER(AG5)), ((AG5-$AH$30)/($AH$29-$AH$30))*100, "")</f>
        <v>30.701754385964914</v>
      </c>
      <c r="N35" s="137">
        <f t="shared" ref="N35:N58" si="32">SUM(C35:M35)</f>
        <v>519.68291402618945</v>
      </c>
      <c r="O35" s="89">
        <f t="shared" ref="O35:O58" si="33">N35/11</f>
        <v>47.243901275108129</v>
      </c>
      <c r="P35" s="50">
        <f t="shared" ref="P35:P58" si="34">IF(ISNUMBER(O35), IF(O35&gt;0, 1,0), 0)</f>
        <v>1</v>
      </c>
      <c r="Q35" s="2">
        <f t="shared" si="21"/>
        <v>2</v>
      </c>
    </row>
    <row r="36" spans="1:17" x14ac:dyDescent="0.25">
      <c r="A36" s="87">
        <v>3</v>
      </c>
      <c r="B36" s="52" t="s">
        <v>3</v>
      </c>
      <c r="C36" s="137">
        <f t="shared" si="22"/>
        <v>32.352941176470587</v>
      </c>
      <c r="D36" s="89">
        <f>IF(AND(ISNUMBER(C6),F6&gt;=$G$30),((F6-$G$30)/($G$29-$G$30))*100,"")</f>
        <v>7.0996978851963739</v>
      </c>
      <c r="E36" s="89">
        <f t="shared" si="24"/>
        <v>19.148936170212767</v>
      </c>
      <c r="F36" s="89" t="str">
        <f t="shared" si="25"/>
        <v/>
      </c>
      <c r="G36" s="89" t="str">
        <f t="shared" si="26"/>
        <v/>
      </c>
      <c r="H36" s="89" t="str">
        <f t="shared" si="27"/>
        <v/>
      </c>
      <c r="I36" s="89" t="str">
        <f t="shared" si="28"/>
        <v/>
      </c>
      <c r="J36" s="89" t="str">
        <f t="shared" si="29"/>
        <v/>
      </c>
      <c r="K36" s="89"/>
      <c r="L36" s="89">
        <f t="shared" si="30"/>
        <v>2</v>
      </c>
      <c r="M36" s="2" t="str">
        <f t="shared" si="31"/>
        <v/>
      </c>
      <c r="N36" s="137">
        <f t="shared" si="32"/>
        <v>60.601575231879721</v>
      </c>
      <c r="O36" s="89">
        <f t="shared" si="33"/>
        <v>5.5092341119890653</v>
      </c>
      <c r="P36" s="50">
        <f t="shared" si="34"/>
        <v>1</v>
      </c>
      <c r="Q36" s="2">
        <f t="shared" si="21"/>
        <v>11</v>
      </c>
    </row>
    <row r="37" spans="1:17" x14ac:dyDescent="0.25">
      <c r="A37" s="87">
        <v>4</v>
      </c>
      <c r="B37" s="52" t="s">
        <v>4</v>
      </c>
      <c r="C37" s="137">
        <f t="shared" si="22"/>
        <v>20</v>
      </c>
      <c r="D37" s="89">
        <f t="shared" si="23"/>
        <v>15.55891238670695</v>
      </c>
      <c r="E37" s="89">
        <f t="shared" si="24"/>
        <v>100</v>
      </c>
      <c r="F37" s="89">
        <f t="shared" si="25"/>
        <v>0</v>
      </c>
      <c r="G37" s="89" t="str">
        <f t="shared" si="26"/>
        <v/>
      </c>
      <c r="H37" s="89" t="str">
        <f t="shared" si="27"/>
        <v/>
      </c>
      <c r="I37" s="89" t="str">
        <f t="shared" si="28"/>
        <v/>
      </c>
      <c r="J37" s="89" t="str">
        <f t="shared" si="29"/>
        <v/>
      </c>
      <c r="K37" s="89"/>
      <c r="L37" s="89" t="str">
        <f t="shared" si="30"/>
        <v/>
      </c>
      <c r="M37" s="2" t="str">
        <f t="shared" si="31"/>
        <v/>
      </c>
      <c r="N37" s="137">
        <f t="shared" si="32"/>
        <v>135.55891238670694</v>
      </c>
      <c r="O37" s="89">
        <f t="shared" si="33"/>
        <v>12.32353748970063</v>
      </c>
      <c r="P37" s="50">
        <f t="shared" si="34"/>
        <v>1</v>
      </c>
      <c r="Q37" s="2">
        <f t="shared" si="21"/>
        <v>5</v>
      </c>
    </row>
    <row r="38" spans="1:17" x14ac:dyDescent="0.25">
      <c r="A38" s="87">
        <v>5</v>
      </c>
      <c r="B38" s="52" t="s">
        <v>5</v>
      </c>
      <c r="C38" s="137">
        <f t="shared" si="22"/>
        <v>13.294117647058822</v>
      </c>
      <c r="D38" s="89">
        <f t="shared" si="23"/>
        <v>6.3444108761329288</v>
      </c>
      <c r="E38" s="89" t="str">
        <f t="shared" si="24"/>
        <v/>
      </c>
      <c r="F38" s="89">
        <f t="shared" si="25"/>
        <v>19.047619047619047</v>
      </c>
      <c r="G38" s="89">
        <f t="shared" si="26"/>
        <v>100</v>
      </c>
      <c r="H38" s="89">
        <f t="shared" si="27"/>
        <v>100</v>
      </c>
      <c r="I38" s="89">
        <f t="shared" si="28"/>
        <v>32.664756446991404</v>
      </c>
      <c r="J38" s="89">
        <f t="shared" si="29"/>
        <v>71.15384615384616</v>
      </c>
      <c r="K38" s="89"/>
      <c r="L38" s="89">
        <f t="shared" si="30"/>
        <v>57.999999999999993</v>
      </c>
      <c r="M38" s="2">
        <f t="shared" si="31"/>
        <v>100</v>
      </c>
      <c r="N38" s="137">
        <f t="shared" si="32"/>
        <v>500.50475017164842</v>
      </c>
      <c r="O38" s="89">
        <f t="shared" si="33"/>
        <v>45.500431833786223</v>
      </c>
      <c r="P38" s="50">
        <f t="shared" si="34"/>
        <v>1</v>
      </c>
      <c r="Q38" s="2">
        <f t="shared" si="21"/>
        <v>3</v>
      </c>
    </row>
    <row r="39" spans="1:17" x14ac:dyDescent="0.25">
      <c r="A39" s="87">
        <v>6</v>
      </c>
      <c r="B39" s="52" t="s">
        <v>6</v>
      </c>
      <c r="C39" s="137">
        <f t="shared" si="22"/>
        <v>11.882352941176471</v>
      </c>
      <c r="D39" s="89">
        <f t="shared" si="23"/>
        <v>0</v>
      </c>
      <c r="E39" s="89" t="str">
        <f t="shared" si="24"/>
        <v/>
      </c>
      <c r="F39" s="89" t="str">
        <f t="shared" si="25"/>
        <v/>
      </c>
      <c r="G39" s="89" t="str">
        <f t="shared" si="26"/>
        <v/>
      </c>
      <c r="H39" s="89" t="str">
        <f t="shared" si="27"/>
        <v/>
      </c>
      <c r="I39" s="89" t="str">
        <f t="shared" si="28"/>
        <v/>
      </c>
      <c r="J39" s="89" t="str">
        <f t="shared" si="29"/>
        <v/>
      </c>
      <c r="K39" s="89"/>
      <c r="L39" s="89" t="str">
        <f t="shared" si="30"/>
        <v/>
      </c>
      <c r="M39" s="2" t="str">
        <f t="shared" si="31"/>
        <v/>
      </c>
      <c r="N39" s="137">
        <f t="shared" si="32"/>
        <v>11.882352941176471</v>
      </c>
      <c r="O39" s="89">
        <f t="shared" si="33"/>
        <v>1.0802139037433156</v>
      </c>
      <c r="P39" s="50">
        <f t="shared" si="34"/>
        <v>1</v>
      </c>
      <c r="Q39" s="2">
        <f t="shared" si="21"/>
        <v>17</v>
      </c>
    </row>
    <row r="40" spans="1:17" x14ac:dyDescent="0.25">
      <c r="A40" s="87">
        <v>7</v>
      </c>
      <c r="B40" s="52" t="s">
        <v>7</v>
      </c>
      <c r="C40" s="137">
        <f t="shared" si="22"/>
        <v>8.9411764705882355</v>
      </c>
      <c r="D40" s="89" t="str">
        <f t="shared" si="23"/>
        <v/>
      </c>
      <c r="E40" s="89" t="str">
        <f t="shared" si="24"/>
        <v/>
      </c>
      <c r="F40" s="89">
        <f t="shared" si="25"/>
        <v>9.5238095238095113</v>
      </c>
      <c r="G40" s="89" t="str">
        <f t="shared" si="26"/>
        <v/>
      </c>
      <c r="H40" s="89" t="str">
        <f t="shared" si="27"/>
        <v/>
      </c>
      <c r="I40" s="89" t="str">
        <f t="shared" si="28"/>
        <v/>
      </c>
      <c r="J40" s="89" t="str">
        <f t="shared" si="29"/>
        <v/>
      </c>
      <c r="K40" s="89"/>
      <c r="L40" s="89" t="str">
        <f t="shared" si="30"/>
        <v/>
      </c>
      <c r="M40" s="2" t="str">
        <f t="shared" si="31"/>
        <v/>
      </c>
      <c r="N40" s="137">
        <f t="shared" si="32"/>
        <v>18.464985994397747</v>
      </c>
      <c r="O40" s="89">
        <f t="shared" si="33"/>
        <v>1.6786350903997951</v>
      </c>
      <c r="P40" s="50">
        <f t="shared" si="34"/>
        <v>1</v>
      </c>
      <c r="Q40" s="2">
        <f t="shared" si="21"/>
        <v>16</v>
      </c>
    </row>
    <row r="41" spans="1:17" x14ac:dyDescent="0.25">
      <c r="A41" s="87">
        <v>8</v>
      </c>
      <c r="B41" s="52" t="s">
        <v>8</v>
      </c>
      <c r="C41" s="137">
        <f t="shared" si="22"/>
        <v>5.6470588235294121</v>
      </c>
      <c r="D41" s="89">
        <f t="shared" si="23"/>
        <v>0.75528700906344404</v>
      </c>
      <c r="E41" s="89" t="str">
        <f t="shared" si="24"/>
        <v/>
      </c>
      <c r="F41" s="89" t="str">
        <f t="shared" si="25"/>
        <v/>
      </c>
      <c r="G41" s="89" t="str">
        <f t="shared" si="26"/>
        <v/>
      </c>
      <c r="H41" s="89" t="str">
        <f t="shared" si="27"/>
        <v/>
      </c>
      <c r="I41" s="89" t="str">
        <f t="shared" si="28"/>
        <v/>
      </c>
      <c r="J41" s="89" t="str">
        <f t="shared" si="29"/>
        <v/>
      </c>
      <c r="K41" s="89"/>
      <c r="L41" s="89" t="str">
        <f t="shared" si="30"/>
        <v/>
      </c>
      <c r="M41" s="2" t="str">
        <f t="shared" si="31"/>
        <v/>
      </c>
      <c r="N41" s="137">
        <f t="shared" si="32"/>
        <v>6.4023458325928564</v>
      </c>
      <c r="O41" s="89">
        <f t="shared" si="33"/>
        <v>0.58203143932662327</v>
      </c>
      <c r="P41" s="50">
        <f t="shared" si="34"/>
        <v>1</v>
      </c>
      <c r="Q41" s="2">
        <f t="shared" si="21"/>
        <v>19</v>
      </c>
    </row>
    <row r="42" spans="1:17" x14ac:dyDescent="0.25">
      <c r="A42" s="87">
        <v>9</v>
      </c>
      <c r="B42" s="52" t="s">
        <v>9</v>
      </c>
      <c r="C42" s="137">
        <f t="shared" si="22"/>
        <v>0</v>
      </c>
      <c r="D42" s="89" t="str">
        <f t="shared" si="23"/>
        <v/>
      </c>
      <c r="E42" s="89" t="str">
        <f t="shared" si="24"/>
        <v/>
      </c>
      <c r="F42" s="89">
        <f t="shared" si="25"/>
        <v>76.19047619047619</v>
      </c>
      <c r="G42" s="89">
        <f t="shared" si="26"/>
        <v>5.2922013164018349</v>
      </c>
      <c r="H42" s="89" t="str">
        <f t="shared" si="27"/>
        <v/>
      </c>
      <c r="I42" s="89">
        <f t="shared" si="28"/>
        <v>7.5931232091690548</v>
      </c>
      <c r="J42" s="89">
        <f t="shared" si="29"/>
        <v>0</v>
      </c>
      <c r="K42" s="89"/>
      <c r="L42" s="89" t="str">
        <f t="shared" si="30"/>
        <v/>
      </c>
      <c r="M42" s="2">
        <f t="shared" si="31"/>
        <v>2.6315789473684208</v>
      </c>
      <c r="N42" s="137">
        <f t="shared" si="32"/>
        <v>91.707379663415495</v>
      </c>
      <c r="O42" s="89">
        <f t="shared" si="33"/>
        <v>8.3370345148559544</v>
      </c>
      <c r="P42" s="50">
        <f t="shared" si="34"/>
        <v>1</v>
      </c>
      <c r="Q42" s="2">
        <f t="shared" si="21"/>
        <v>9</v>
      </c>
    </row>
    <row r="43" spans="1:17" x14ac:dyDescent="0.25">
      <c r="A43" s="87">
        <v>10</v>
      </c>
      <c r="B43" s="52" t="s">
        <v>10</v>
      </c>
      <c r="C43" s="137" t="str">
        <f t="shared" si="22"/>
        <v/>
      </c>
      <c r="D43" s="89" t="str">
        <f t="shared" si="23"/>
        <v/>
      </c>
      <c r="E43" s="89" t="str">
        <f t="shared" si="24"/>
        <v/>
      </c>
      <c r="F43" s="89" t="str">
        <f t="shared" si="25"/>
        <v/>
      </c>
      <c r="G43" s="89">
        <f t="shared" si="26"/>
        <v>30.585289098685813</v>
      </c>
      <c r="H43" s="89">
        <f t="shared" si="27"/>
        <v>42.456256190161767</v>
      </c>
      <c r="I43" s="89">
        <f t="shared" si="28"/>
        <v>9.7421203438395416</v>
      </c>
      <c r="J43" s="89">
        <f t="shared" si="29"/>
        <v>5.2884615384615383</v>
      </c>
      <c r="K43" s="89">
        <v>100</v>
      </c>
      <c r="L43" s="89">
        <f t="shared" si="30"/>
        <v>100</v>
      </c>
      <c r="M43" s="2">
        <f t="shared" si="31"/>
        <v>48.245614035087719</v>
      </c>
      <c r="N43" s="137">
        <f t="shared" si="32"/>
        <v>336.31774120623635</v>
      </c>
      <c r="O43" s="89">
        <f t="shared" si="33"/>
        <v>30.57434010965785</v>
      </c>
      <c r="P43" s="50">
        <f t="shared" si="34"/>
        <v>1</v>
      </c>
      <c r="Q43" s="2">
        <f t="shared" si="21"/>
        <v>4</v>
      </c>
    </row>
    <row r="44" spans="1:17" x14ac:dyDescent="0.25">
      <c r="A44" s="87">
        <v>11</v>
      </c>
      <c r="B44" s="52" t="s">
        <v>11</v>
      </c>
      <c r="C44" s="137" t="str">
        <f t="shared" si="22"/>
        <v/>
      </c>
      <c r="D44" s="89" t="str">
        <f t="shared" si="23"/>
        <v/>
      </c>
      <c r="E44" s="89">
        <f t="shared" si="24"/>
        <v>11.246200607902731</v>
      </c>
      <c r="F44" s="89">
        <f t="shared" si="25"/>
        <v>33.333333333333329</v>
      </c>
      <c r="G44" s="89" t="str">
        <f t="shared" si="26"/>
        <v/>
      </c>
      <c r="H44" s="89" t="str">
        <f t="shared" si="27"/>
        <v/>
      </c>
      <c r="I44" s="89" t="str">
        <f t="shared" si="28"/>
        <v/>
      </c>
      <c r="J44" s="89" t="str">
        <f t="shared" si="29"/>
        <v/>
      </c>
      <c r="K44" s="89"/>
      <c r="L44" s="89" t="str">
        <f t="shared" si="30"/>
        <v/>
      </c>
      <c r="M44" s="2" t="str">
        <f t="shared" si="31"/>
        <v/>
      </c>
      <c r="N44" s="137">
        <f t="shared" si="32"/>
        <v>44.579533941236058</v>
      </c>
      <c r="O44" s="89">
        <f t="shared" si="33"/>
        <v>4.0526849037487329</v>
      </c>
      <c r="P44" s="50">
        <f t="shared" si="34"/>
        <v>1</v>
      </c>
      <c r="Q44" s="2">
        <f t="shared" si="21"/>
        <v>12</v>
      </c>
    </row>
    <row r="45" spans="1:17" x14ac:dyDescent="0.25">
      <c r="A45" s="87">
        <v>12</v>
      </c>
      <c r="B45" s="52" t="s">
        <v>12</v>
      </c>
      <c r="C45" s="137" t="str">
        <f t="shared" si="22"/>
        <v/>
      </c>
      <c r="D45" s="89" t="str">
        <f t="shared" si="23"/>
        <v/>
      </c>
      <c r="E45" s="89" t="str">
        <f t="shared" si="24"/>
        <v/>
      </c>
      <c r="F45" s="89">
        <f t="shared" si="25"/>
        <v>9.5238095238095113</v>
      </c>
      <c r="G45" s="89">
        <f t="shared" si="26"/>
        <v>8.6208807038539099</v>
      </c>
      <c r="H45" s="89" t="str">
        <f t="shared" si="27"/>
        <v/>
      </c>
      <c r="I45" s="89">
        <f t="shared" si="28"/>
        <v>2.7936962750716332</v>
      </c>
      <c r="J45" s="89">
        <f t="shared" si="29"/>
        <v>14.903846153846153</v>
      </c>
      <c r="K45" s="89"/>
      <c r="L45" s="89" t="str">
        <f t="shared" si="30"/>
        <v/>
      </c>
      <c r="M45" s="2">
        <f t="shared" si="31"/>
        <v>0</v>
      </c>
      <c r="N45" s="137">
        <f t="shared" si="32"/>
        <v>35.842232656581203</v>
      </c>
      <c r="O45" s="89">
        <f t="shared" si="33"/>
        <v>3.2583847869619276</v>
      </c>
      <c r="P45" s="50">
        <f t="shared" si="34"/>
        <v>1</v>
      </c>
      <c r="Q45" s="2">
        <f t="shared" si="21"/>
        <v>13</v>
      </c>
    </row>
    <row r="46" spans="1:17" x14ac:dyDescent="0.25">
      <c r="A46" s="87">
        <v>13</v>
      </c>
      <c r="B46" s="52" t="s">
        <v>13</v>
      </c>
      <c r="C46" s="137" t="str">
        <f t="shared" si="22"/>
        <v/>
      </c>
      <c r="D46" s="89" t="str">
        <f t="shared" si="23"/>
        <v/>
      </c>
      <c r="E46" s="89" t="str">
        <f t="shared" si="24"/>
        <v/>
      </c>
      <c r="F46" s="89" t="str">
        <f t="shared" si="25"/>
        <v/>
      </c>
      <c r="G46" s="89" t="str">
        <f t="shared" si="26"/>
        <v/>
      </c>
      <c r="H46" s="89" t="str">
        <f t="shared" si="27"/>
        <v/>
      </c>
      <c r="I46" s="89" t="str">
        <f t="shared" si="28"/>
        <v/>
      </c>
      <c r="J46" s="89" t="str">
        <f t="shared" si="29"/>
        <v/>
      </c>
      <c r="K46" s="89"/>
      <c r="L46" s="89" t="str">
        <f t="shared" si="30"/>
        <v/>
      </c>
      <c r="M46" s="2" t="str">
        <f t="shared" si="31"/>
        <v/>
      </c>
      <c r="N46" s="137">
        <f t="shared" si="32"/>
        <v>0</v>
      </c>
      <c r="O46" s="89">
        <f t="shared" si="33"/>
        <v>0</v>
      </c>
      <c r="P46" s="50">
        <f t="shared" si="34"/>
        <v>0</v>
      </c>
      <c r="Q46" s="2" t="str">
        <f t="shared" si="21"/>
        <v/>
      </c>
    </row>
    <row r="47" spans="1:17" x14ac:dyDescent="0.25">
      <c r="A47" s="87">
        <v>14</v>
      </c>
      <c r="B47" s="52" t="s">
        <v>14</v>
      </c>
      <c r="C47" s="137" t="str">
        <f t="shared" si="22"/>
        <v/>
      </c>
      <c r="D47" s="89" t="str">
        <f t="shared" si="23"/>
        <v/>
      </c>
      <c r="E47" s="89">
        <f t="shared" si="24"/>
        <v>83.586626139817625</v>
      </c>
      <c r="F47" s="89" t="str">
        <f t="shared" si="25"/>
        <v/>
      </c>
      <c r="G47" s="89" t="str">
        <f t="shared" si="26"/>
        <v/>
      </c>
      <c r="H47" s="89" t="str">
        <f t="shared" si="27"/>
        <v/>
      </c>
      <c r="I47" s="89" t="str">
        <f t="shared" si="28"/>
        <v/>
      </c>
      <c r="J47" s="89" t="str">
        <f t="shared" si="29"/>
        <v/>
      </c>
      <c r="K47" s="89"/>
      <c r="L47" s="89">
        <f t="shared" si="30"/>
        <v>26.666666666666668</v>
      </c>
      <c r="M47" s="2" t="str">
        <f t="shared" si="31"/>
        <v/>
      </c>
      <c r="N47" s="137">
        <f t="shared" si="32"/>
        <v>110.2532928064843</v>
      </c>
      <c r="O47" s="89">
        <f t="shared" si="33"/>
        <v>10.023026618771299</v>
      </c>
      <c r="P47" s="50">
        <f t="shared" si="34"/>
        <v>1</v>
      </c>
      <c r="Q47" s="2">
        <f t="shared" si="21"/>
        <v>7</v>
      </c>
    </row>
    <row r="48" spans="1:17" x14ac:dyDescent="0.25">
      <c r="A48" s="87">
        <v>15</v>
      </c>
      <c r="B48" s="52" t="s">
        <v>15</v>
      </c>
      <c r="C48" s="137" t="str">
        <f t="shared" si="22"/>
        <v/>
      </c>
      <c r="D48" s="89" t="str">
        <f t="shared" si="23"/>
        <v/>
      </c>
      <c r="E48" s="89" t="str">
        <f t="shared" si="24"/>
        <v/>
      </c>
      <c r="F48" s="89">
        <f t="shared" si="25"/>
        <v>9.5238095238095113</v>
      </c>
      <c r="G48" s="89">
        <f t="shared" si="26"/>
        <v>28.907652416727615</v>
      </c>
      <c r="H48" s="89">
        <f t="shared" si="27"/>
        <v>24.694618686034993</v>
      </c>
      <c r="I48" s="89">
        <f t="shared" si="28"/>
        <v>0.21489971346704873</v>
      </c>
      <c r="J48" s="89">
        <f t="shared" si="29"/>
        <v>37.019230769230774</v>
      </c>
      <c r="K48" s="89"/>
      <c r="L48" s="89" t="str">
        <f t="shared" si="30"/>
        <v/>
      </c>
      <c r="M48" s="2" t="str">
        <f t="shared" si="31"/>
        <v/>
      </c>
      <c r="N48" s="137">
        <f t="shared" si="32"/>
        <v>100.36021110926994</v>
      </c>
      <c r="O48" s="89">
        <f t="shared" si="33"/>
        <v>9.1236555553881757</v>
      </c>
      <c r="P48" s="50">
        <f t="shared" si="34"/>
        <v>1</v>
      </c>
      <c r="Q48" s="2">
        <f t="shared" si="21"/>
        <v>8</v>
      </c>
    </row>
    <row r="49" spans="1:17" x14ac:dyDescent="0.25">
      <c r="A49" s="87">
        <v>16</v>
      </c>
      <c r="B49" s="52" t="s">
        <v>16</v>
      </c>
      <c r="C49" s="137" t="str">
        <f t="shared" si="22"/>
        <v/>
      </c>
      <c r="D49" s="89" t="str">
        <f t="shared" si="23"/>
        <v/>
      </c>
      <c r="E49" s="89" t="str">
        <f t="shared" si="24"/>
        <v/>
      </c>
      <c r="F49" s="89" t="str">
        <f t="shared" si="25"/>
        <v/>
      </c>
      <c r="G49" s="89" t="str">
        <f t="shared" si="26"/>
        <v/>
      </c>
      <c r="H49" s="89" t="str">
        <f t="shared" si="27"/>
        <v/>
      </c>
      <c r="I49" s="89" t="str">
        <f t="shared" si="28"/>
        <v/>
      </c>
      <c r="J49" s="89" t="str">
        <f t="shared" si="29"/>
        <v/>
      </c>
      <c r="K49" s="89"/>
      <c r="L49" s="89" t="str">
        <f t="shared" si="30"/>
        <v/>
      </c>
      <c r="M49" s="2" t="str">
        <f t="shared" si="31"/>
        <v/>
      </c>
      <c r="N49" s="137">
        <f t="shared" si="32"/>
        <v>0</v>
      </c>
      <c r="O49" s="89">
        <f t="shared" si="33"/>
        <v>0</v>
      </c>
      <c r="P49" s="50">
        <f t="shared" si="34"/>
        <v>0</v>
      </c>
      <c r="Q49" s="2" t="str">
        <f t="shared" si="21"/>
        <v/>
      </c>
    </row>
    <row r="50" spans="1:17" x14ac:dyDescent="0.25">
      <c r="A50" s="87">
        <v>17</v>
      </c>
      <c r="B50" s="52" t="s">
        <v>17</v>
      </c>
      <c r="C50" s="137" t="str">
        <f t="shared" si="22"/>
        <v/>
      </c>
      <c r="D50" s="89" t="str">
        <f t="shared" si="23"/>
        <v/>
      </c>
      <c r="E50" s="89" t="str">
        <f t="shared" si="24"/>
        <v/>
      </c>
      <c r="F50" s="89" t="str">
        <f t="shared" si="25"/>
        <v/>
      </c>
      <c r="G50" s="89">
        <f t="shared" si="26"/>
        <v>0</v>
      </c>
      <c r="H50" s="89">
        <f t="shared" si="27"/>
        <v>0</v>
      </c>
      <c r="I50" s="89" t="str">
        <f t="shared" si="28"/>
        <v/>
      </c>
      <c r="J50" s="89" t="str">
        <f t="shared" si="29"/>
        <v/>
      </c>
      <c r="K50" s="89"/>
      <c r="L50" s="89" t="str">
        <f t="shared" si="30"/>
        <v/>
      </c>
      <c r="M50" s="2" t="str">
        <f t="shared" si="31"/>
        <v/>
      </c>
      <c r="N50" s="137">
        <f t="shared" si="32"/>
        <v>0</v>
      </c>
      <c r="O50" s="89">
        <f t="shared" si="33"/>
        <v>0</v>
      </c>
      <c r="P50" s="50">
        <f t="shared" si="34"/>
        <v>0</v>
      </c>
      <c r="Q50" s="2" t="str">
        <f t="shared" si="21"/>
        <v/>
      </c>
    </row>
    <row r="51" spans="1:17" x14ac:dyDescent="0.25">
      <c r="A51" s="87">
        <v>18</v>
      </c>
      <c r="B51" s="52" t="s">
        <v>18</v>
      </c>
      <c r="C51" s="137" t="str">
        <f t="shared" si="22"/>
        <v/>
      </c>
      <c r="D51" s="89" t="str">
        <f t="shared" si="23"/>
        <v/>
      </c>
      <c r="E51" s="89">
        <f t="shared" si="24"/>
        <v>0</v>
      </c>
      <c r="F51" s="89" t="str">
        <f t="shared" si="25"/>
        <v/>
      </c>
      <c r="G51" s="89" t="str">
        <f t="shared" si="26"/>
        <v/>
      </c>
      <c r="H51" s="89" t="str">
        <f t="shared" si="27"/>
        <v/>
      </c>
      <c r="I51" s="89" t="str">
        <f t="shared" si="28"/>
        <v/>
      </c>
      <c r="J51" s="89" t="str">
        <f t="shared" si="29"/>
        <v/>
      </c>
      <c r="K51" s="89"/>
      <c r="L51" s="89" t="str">
        <f t="shared" si="30"/>
        <v/>
      </c>
      <c r="M51" s="2" t="str">
        <f t="shared" si="31"/>
        <v/>
      </c>
      <c r="N51" s="137">
        <f t="shared" si="32"/>
        <v>0</v>
      </c>
      <c r="O51" s="89">
        <f t="shared" si="33"/>
        <v>0</v>
      </c>
      <c r="P51" s="50">
        <f t="shared" si="34"/>
        <v>0</v>
      </c>
      <c r="Q51" s="2" t="str">
        <f t="shared" si="21"/>
        <v/>
      </c>
    </row>
    <row r="52" spans="1:17" x14ac:dyDescent="0.25">
      <c r="A52" s="87">
        <v>19</v>
      </c>
      <c r="B52" s="52" t="s">
        <v>19</v>
      </c>
      <c r="C52" s="137" t="str">
        <f t="shared" si="22"/>
        <v/>
      </c>
      <c r="D52" s="89" t="str">
        <f t="shared" si="23"/>
        <v/>
      </c>
      <c r="E52" s="89" t="str">
        <f t="shared" si="24"/>
        <v/>
      </c>
      <c r="F52" s="89" t="str">
        <f t="shared" si="25"/>
        <v/>
      </c>
      <c r="G52" s="89" t="str">
        <f t="shared" si="26"/>
        <v/>
      </c>
      <c r="H52" s="89" t="str">
        <f t="shared" si="27"/>
        <v/>
      </c>
      <c r="I52" s="89" t="str">
        <f t="shared" si="28"/>
        <v/>
      </c>
      <c r="J52" s="89" t="str">
        <f t="shared" si="29"/>
        <v/>
      </c>
      <c r="K52" s="89"/>
      <c r="L52" s="89">
        <f t="shared" si="30"/>
        <v>66.666666666666657</v>
      </c>
      <c r="M52" s="2" t="str">
        <f t="shared" si="31"/>
        <v/>
      </c>
      <c r="N52" s="137">
        <f t="shared" si="32"/>
        <v>66.666666666666657</v>
      </c>
      <c r="O52" s="89">
        <f t="shared" si="33"/>
        <v>6.0606060606060597</v>
      </c>
      <c r="P52" s="50">
        <f t="shared" si="34"/>
        <v>1</v>
      </c>
      <c r="Q52" s="2">
        <f t="shared" si="21"/>
        <v>10</v>
      </c>
    </row>
    <row r="53" spans="1:17" x14ac:dyDescent="0.25">
      <c r="A53" s="87">
        <v>20</v>
      </c>
      <c r="B53" s="52" t="s">
        <v>20</v>
      </c>
      <c r="C53" s="137" t="str">
        <f t="shared" si="22"/>
        <v/>
      </c>
      <c r="D53" s="89" t="str">
        <f t="shared" si="23"/>
        <v/>
      </c>
      <c r="E53" s="89" t="str">
        <f t="shared" si="24"/>
        <v/>
      </c>
      <c r="F53" s="89" t="str">
        <f t="shared" si="25"/>
        <v/>
      </c>
      <c r="G53" s="89">
        <f t="shared" si="26"/>
        <v>1.1524056467876691</v>
      </c>
      <c r="H53" s="89" t="str">
        <f t="shared" si="27"/>
        <v/>
      </c>
      <c r="I53" s="89">
        <f t="shared" si="28"/>
        <v>0</v>
      </c>
      <c r="J53" s="89" t="str">
        <f t="shared" si="29"/>
        <v/>
      </c>
      <c r="K53" s="89"/>
      <c r="L53" s="89" t="str">
        <f t="shared" si="30"/>
        <v/>
      </c>
      <c r="M53" s="2">
        <f t="shared" si="31"/>
        <v>30.701754385964914</v>
      </c>
      <c r="N53" s="137">
        <f t="shared" si="32"/>
        <v>31.854160032752585</v>
      </c>
      <c r="O53" s="89">
        <f t="shared" si="33"/>
        <v>2.8958327302502349</v>
      </c>
      <c r="P53" s="50">
        <f t="shared" si="34"/>
        <v>1</v>
      </c>
      <c r="Q53" s="2">
        <f t="shared" si="21"/>
        <v>14</v>
      </c>
    </row>
    <row r="54" spans="1:17" x14ac:dyDescent="0.25">
      <c r="A54" s="87">
        <v>21</v>
      </c>
      <c r="B54" s="52" t="s">
        <v>21</v>
      </c>
      <c r="C54" s="137" t="str">
        <f t="shared" si="22"/>
        <v/>
      </c>
      <c r="D54" s="89" t="str">
        <f t="shared" si="23"/>
        <v/>
      </c>
      <c r="E54" s="89" t="str">
        <f t="shared" si="24"/>
        <v/>
      </c>
      <c r="F54" s="89">
        <f t="shared" si="25"/>
        <v>100</v>
      </c>
      <c r="G54" s="89" t="str">
        <f t="shared" si="26"/>
        <v/>
      </c>
      <c r="H54" s="89" t="str">
        <f t="shared" si="27"/>
        <v/>
      </c>
      <c r="I54" s="89">
        <f t="shared" si="28"/>
        <v>0.57306590257879653</v>
      </c>
      <c r="J54" s="89">
        <f t="shared" si="29"/>
        <v>2.8846153846153846</v>
      </c>
      <c r="K54" s="89"/>
      <c r="L54" s="89">
        <f t="shared" si="30"/>
        <v>0</v>
      </c>
      <c r="M54" s="2">
        <f t="shared" si="31"/>
        <v>11.403508771929824</v>
      </c>
      <c r="N54" s="137">
        <f t="shared" si="32"/>
        <v>114.861190059124</v>
      </c>
      <c r="O54" s="89">
        <f t="shared" si="33"/>
        <v>10.441926369011272</v>
      </c>
      <c r="P54" s="50">
        <f t="shared" si="34"/>
        <v>1</v>
      </c>
      <c r="Q54" s="2">
        <f t="shared" si="21"/>
        <v>6</v>
      </c>
    </row>
    <row r="55" spans="1:17" x14ac:dyDescent="0.25">
      <c r="A55" s="87">
        <v>22</v>
      </c>
      <c r="B55" s="52" t="s">
        <v>22</v>
      </c>
      <c r="C55" s="137" t="str">
        <f t="shared" si="22"/>
        <v/>
      </c>
      <c r="D55" s="89" t="str">
        <f t="shared" si="23"/>
        <v/>
      </c>
      <c r="E55" s="89" t="str">
        <f t="shared" si="24"/>
        <v/>
      </c>
      <c r="F55" s="89" t="str">
        <f t="shared" si="25"/>
        <v/>
      </c>
      <c r="G55" s="89" t="str">
        <f t="shared" si="26"/>
        <v/>
      </c>
      <c r="H55" s="89" t="str">
        <f t="shared" si="27"/>
        <v/>
      </c>
      <c r="I55" s="89" t="str">
        <f t="shared" si="28"/>
        <v/>
      </c>
      <c r="J55" s="89" t="str">
        <f t="shared" si="29"/>
        <v/>
      </c>
      <c r="K55" s="89"/>
      <c r="L55" s="89" t="str">
        <f t="shared" si="30"/>
        <v/>
      </c>
      <c r="M55" s="2" t="str">
        <f t="shared" si="31"/>
        <v/>
      </c>
      <c r="N55" s="137">
        <f t="shared" si="32"/>
        <v>0</v>
      </c>
      <c r="O55" s="89">
        <f t="shared" si="33"/>
        <v>0</v>
      </c>
      <c r="P55" s="50">
        <f t="shared" si="34"/>
        <v>0</v>
      </c>
      <c r="Q55" s="2" t="str">
        <f t="shared" si="21"/>
        <v/>
      </c>
    </row>
    <row r="56" spans="1:17" x14ac:dyDescent="0.25">
      <c r="A56" s="87">
        <v>23</v>
      </c>
      <c r="B56" s="53" t="s">
        <v>23</v>
      </c>
      <c r="C56" s="137" t="str">
        <f t="shared" si="22"/>
        <v/>
      </c>
      <c r="D56" s="89" t="str">
        <f t="shared" si="23"/>
        <v/>
      </c>
      <c r="E56" s="89" t="str">
        <f t="shared" si="24"/>
        <v/>
      </c>
      <c r="F56" s="89" t="str">
        <f t="shared" si="25"/>
        <v/>
      </c>
      <c r="G56" s="89" t="str">
        <f t="shared" si="26"/>
        <v/>
      </c>
      <c r="H56" s="89" t="str">
        <f t="shared" si="27"/>
        <v/>
      </c>
      <c r="I56" s="89" t="str">
        <f t="shared" si="28"/>
        <v/>
      </c>
      <c r="J56" s="89" t="str">
        <f t="shared" si="29"/>
        <v/>
      </c>
      <c r="K56" s="89"/>
      <c r="L56" s="89">
        <f t="shared" si="30"/>
        <v>18.666666666666668</v>
      </c>
      <c r="M56" s="2" t="str">
        <f t="shared" si="31"/>
        <v/>
      </c>
      <c r="N56" s="137">
        <f t="shared" si="32"/>
        <v>18.666666666666668</v>
      </c>
      <c r="O56" s="89">
        <f t="shared" si="33"/>
        <v>1.696969696969697</v>
      </c>
      <c r="P56" s="50">
        <f t="shared" si="34"/>
        <v>1</v>
      </c>
      <c r="Q56" s="2">
        <f t="shared" si="21"/>
        <v>15</v>
      </c>
    </row>
    <row r="57" spans="1:17" x14ac:dyDescent="0.25">
      <c r="A57" s="87">
        <v>24</v>
      </c>
      <c r="B57" s="53" t="s">
        <v>24</v>
      </c>
      <c r="C57" s="137" t="str">
        <f t="shared" si="22"/>
        <v/>
      </c>
      <c r="D57" s="89" t="str">
        <f t="shared" si="23"/>
        <v/>
      </c>
      <c r="E57" s="89" t="str">
        <f t="shared" si="24"/>
        <v/>
      </c>
      <c r="F57" s="89" t="str">
        <f t="shared" si="25"/>
        <v/>
      </c>
      <c r="G57" s="89" t="str">
        <f t="shared" si="26"/>
        <v/>
      </c>
      <c r="H57" s="89" t="str">
        <f t="shared" si="27"/>
        <v/>
      </c>
      <c r="I57" s="89" t="str">
        <f t="shared" si="28"/>
        <v/>
      </c>
      <c r="J57" s="89" t="str">
        <f t="shared" si="29"/>
        <v/>
      </c>
      <c r="K57" s="89"/>
      <c r="L57" s="89">
        <f t="shared" si="30"/>
        <v>10</v>
      </c>
      <c r="M57" s="2" t="str">
        <f t="shared" si="31"/>
        <v/>
      </c>
      <c r="N57" s="137">
        <f t="shared" si="32"/>
        <v>10</v>
      </c>
      <c r="O57" s="89">
        <f t="shared" si="33"/>
        <v>0.90909090909090906</v>
      </c>
      <c r="P57" s="50">
        <f t="shared" si="34"/>
        <v>1</v>
      </c>
      <c r="Q57" s="2">
        <f t="shared" si="21"/>
        <v>18</v>
      </c>
    </row>
    <row r="58" spans="1:17" ht="15.75" thickBot="1" x14ac:dyDescent="0.3">
      <c r="A58" s="88">
        <v>25</v>
      </c>
      <c r="B58" s="54" t="s">
        <v>25</v>
      </c>
      <c r="C58" s="138" t="str">
        <f t="shared" si="22"/>
        <v/>
      </c>
      <c r="D58" s="91" t="str">
        <f t="shared" si="23"/>
        <v/>
      </c>
      <c r="E58" s="91" t="str">
        <f t="shared" si="24"/>
        <v/>
      </c>
      <c r="F58" s="91" t="str">
        <f t="shared" si="25"/>
        <v/>
      </c>
      <c r="G58" s="91" t="str">
        <f t="shared" si="26"/>
        <v/>
      </c>
      <c r="H58" s="91" t="str">
        <f t="shared" si="27"/>
        <v/>
      </c>
      <c r="I58" s="91" t="str">
        <f t="shared" si="28"/>
        <v/>
      </c>
      <c r="J58" s="91" t="str">
        <f t="shared" si="29"/>
        <v/>
      </c>
      <c r="K58" s="91"/>
      <c r="L58" s="91" t="str">
        <f t="shared" si="30"/>
        <v/>
      </c>
      <c r="M58" s="79" t="str">
        <f t="shared" si="31"/>
        <v/>
      </c>
      <c r="N58" s="138">
        <f t="shared" si="32"/>
        <v>0</v>
      </c>
      <c r="O58" s="91">
        <f t="shared" si="33"/>
        <v>0</v>
      </c>
      <c r="P58" s="92">
        <f t="shared" si="34"/>
        <v>0</v>
      </c>
      <c r="Q58" s="79" t="str">
        <f t="shared" si="21"/>
        <v/>
      </c>
    </row>
    <row r="60" spans="1:17" ht="15.75" thickBot="1" x14ac:dyDescent="0.3"/>
    <row r="61" spans="1:17" ht="15.75" thickBot="1" x14ac:dyDescent="0.3">
      <c r="A61" s="126" t="str" cm="1">
        <f t="array" ref="A61:C80">_xlfn.VSTACK({"Ranking","Universidad","Score"},_xlfn._xlws.SORT(_xlfn._xlws.FILTER(CHOOSE({1,2,3},Q34:Q58,B34:B58,O34:O58),Q34:Q58&lt;&gt;""),1,TRUE))</f>
        <v>Ranking</v>
      </c>
      <c r="B61" s="127" t="str">
        <v>Universidad</v>
      </c>
      <c r="C61" s="128" t="str">
        <v>Score</v>
      </c>
    </row>
    <row r="62" spans="1:17" x14ac:dyDescent="0.25">
      <c r="A62" s="130">
        <v>1</v>
      </c>
      <c r="B62" s="131" t="str">
        <v>Universidad Nacional Autónoma de México (UNAM)</v>
      </c>
      <c r="C62" s="132">
        <v>57.964954247526073</v>
      </c>
    </row>
    <row r="63" spans="1:17" x14ac:dyDescent="0.25">
      <c r="A63" s="133">
        <v>2</v>
      </c>
      <c r="B63" s="129" t="str">
        <v>Tecnológico de Monterrey (ITESM)</v>
      </c>
      <c r="C63" s="134">
        <v>47.243901275108129</v>
      </c>
    </row>
    <row r="64" spans="1:17" x14ac:dyDescent="0.25">
      <c r="A64" s="133">
        <v>3</v>
      </c>
      <c r="B64" s="129" t="str">
        <v>Instituto Politécnico Nacional (IPN)</v>
      </c>
      <c r="C64" s="134">
        <v>45.500431833786223</v>
      </c>
    </row>
    <row r="65" spans="1:3" x14ac:dyDescent="0.25">
      <c r="A65" s="133">
        <v>4</v>
      </c>
      <c r="B65" s="129" t="str">
        <v>Universidad de Guadalajara (UDG)</v>
      </c>
      <c r="C65" s="134">
        <v>30.57434010965785</v>
      </c>
    </row>
    <row r="66" spans="1:3" x14ac:dyDescent="0.25">
      <c r="A66" s="133">
        <v>5</v>
      </c>
      <c r="B66" s="129" t="str">
        <v>Instituto Tecnológico Autonomo de México (ITAM)</v>
      </c>
      <c r="C66" s="134">
        <v>12.32353748970063</v>
      </c>
    </row>
    <row r="67" spans="1:3" x14ac:dyDescent="0.25">
      <c r="A67" s="133">
        <v>6</v>
      </c>
      <c r="B67" s="129" t="str">
        <v>Universidad de Guanajuato</v>
      </c>
      <c r="C67" s="134">
        <v>10.441926369011272</v>
      </c>
    </row>
    <row r="68" spans="1:3" x14ac:dyDescent="0.25">
      <c r="A68" s="133">
        <v>7</v>
      </c>
      <c r="B68" s="129" t="str">
        <v>Universidad Autónoma de Guadalajara</v>
      </c>
      <c r="C68" s="134">
        <v>10.023026618771299</v>
      </c>
    </row>
    <row r="69" spans="1:3" x14ac:dyDescent="0.25">
      <c r="A69" s="133">
        <v>8</v>
      </c>
      <c r="B69" s="129" t="str">
        <v>Universidad Autónoma de Nuevo León (UANL)</v>
      </c>
      <c r="C69" s="134">
        <v>9.1236555553881757</v>
      </c>
    </row>
    <row r="70" spans="1:3" x14ac:dyDescent="0.25">
      <c r="A70" s="133">
        <v>9</v>
      </c>
      <c r="B70" s="129" t="str">
        <v>Universidad Autónoma Metropolitana (UAM)</v>
      </c>
      <c r="C70" s="134">
        <v>8.3370345148559544</v>
      </c>
    </row>
    <row r="71" spans="1:3" x14ac:dyDescent="0.25">
      <c r="A71" s="133">
        <v>10</v>
      </c>
      <c r="B71" s="129" t="str">
        <v>Universidad Jesuita de Guadalajara - ITESO</v>
      </c>
      <c r="C71" s="134">
        <v>6.0606060606060597</v>
      </c>
    </row>
    <row r="72" spans="1:3" x14ac:dyDescent="0.25">
      <c r="A72" s="133">
        <v>11</v>
      </c>
      <c r="B72" s="129" t="str">
        <v>Universidad Panamericana (UP)</v>
      </c>
      <c r="C72" s="134">
        <v>5.5092341119890653</v>
      </c>
    </row>
    <row r="73" spans="1:3" x14ac:dyDescent="0.25">
      <c r="A73" s="133">
        <v>12</v>
      </c>
      <c r="B73" s="129" t="str">
        <v>Universidad de las Américas Puebla (UDLAP)</v>
      </c>
      <c r="C73" s="134">
        <v>4.0526849037487329</v>
      </c>
    </row>
    <row r="74" spans="1:3" x14ac:dyDescent="0.25">
      <c r="A74" s="133">
        <v>13</v>
      </c>
      <c r="B74" s="129" t="str">
        <v>Benemérita Universidad Autónoma de Puebla</v>
      </c>
      <c r="C74" s="134">
        <v>3.2583847869619276</v>
      </c>
    </row>
    <row r="75" spans="1:3" x14ac:dyDescent="0.25">
      <c r="A75" s="133">
        <v>14</v>
      </c>
      <c r="B75" s="129" t="str">
        <v>Universidad Autónoma de Baja California</v>
      </c>
      <c r="C75" s="134">
        <v>2.8958327302502349</v>
      </c>
    </row>
    <row r="76" spans="1:3" x14ac:dyDescent="0.25">
      <c r="A76" s="133">
        <v>15</v>
      </c>
      <c r="B76" s="129" t="str">
        <v>Universidad Autónoma de Queretaro (UAQ)</v>
      </c>
      <c r="C76" s="134">
        <v>1.696969696969697</v>
      </c>
    </row>
    <row r="77" spans="1:3" x14ac:dyDescent="0.25">
      <c r="A77" s="133">
        <v>16</v>
      </c>
      <c r="B77" s="129" t="str">
        <v>Colegio de México</v>
      </c>
      <c r="C77" s="134">
        <v>1.6786350903997951</v>
      </c>
    </row>
    <row r="78" spans="1:3" x14ac:dyDescent="0.25">
      <c r="A78" s="133">
        <v>17</v>
      </c>
      <c r="B78" s="129" t="str">
        <v>Universidad Anahuac</v>
      </c>
      <c r="C78" s="134">
        <v>1.0802139037433156</v>
      </c>
    </row>
    <row r="79" spans="1:3" x14ac:dyDescent="0.25">
      <c r="A79" s="133">
        <v>18</v>
      </c>
      <c r="B79" s="129" t="str">
        <v>Universidad Tecnológica de Queretaro</v>
      </c>
      <c r="C79" s="134">
        <v>0.90909090909090906</v>
      </c>
    </row>
    <row r="80" spans="1:3" x14ac:dyDescent="0.25">
      <c r="A80" s="133">
        <v>19</v>
      </c>
      <c r="B80" s="129" t="str">
        <v>Universidad Iberoamericana (UIA)</v>
      </c>
      <c r="C80" s="134">
        <v>0.58203143932662327</v>
      </c>
    </row>
    <row r="81" spans="1:3" ht="15.75" thickBot="1" x14ac:dyDescent="0.3">
      <c r="A81" s="135"/>
      <c r="B81" s="139"/>
      <c r="C81" s="136"/>
    </row>
  </sheetData>
  <mergeCells count="18">
    <mergeCell ref="O2:Q2"/>
    <mergeCell ref="R2:T2"/>
    <mergeCell ref="AG1:AI1"/>
    <mergeCell ref="AG2:AI2"/>
    <mergeCell ref="C32:M32"/>
    <mergeCell ref="B1:B3"/>
    <mergeCell ref="U2:W2"/>
    <mergeCell ref="X2:Z2"/>
    <mergeCell ref="AA2:AC2"/>
    <mergeCell ref="B32:B33"/>
    <mergeCell ref="AD2:AF2"/>
    <mergeCell ref="C1:N1"/>
    <mergeCell ref="O1:AC1"/>
    <mergeCell ref="AD1:AF1"/>
    <mergeCell ref="C2:E2"/>
    <mergeCell ref="F2:H2"/>
    <mergeCell ref="I2:K2"/>
    <mergeCell ref="L2:N2"/>
  </mergeCells>
  <conditionalFormatting sqref="A62:A80">
    <cfRule type="colorScale" priority="8">
      <colorScale>
        <cfvo type="min"/>
        <cfvo type="max"/>
        <color rgb="FF63BE7B"/>
        <color rgb="FFFCFCFF"/>
      </colorScale>
    </cfRule>
  </conditionalFormatting>
  <conditionalFormatting sqref="C34:C59">
    <cfRule type="colorScale" priority="19">
      <colorScale>
        <cfvo type="min"/>
        <cfvo type="max"/>
        <color rgb="FFFFEF9C"/>
        <color rgb="FF63BE7B"/>
      </colorScale>
    </cfRule>
  </conditionalFormatting>
  <conditionalFormatting sqref="C62:C81">
    <cfRule type="colorScale" priority="7">
      <colorScale>
        <cfvo type="min"/>
        <cfvo type="max"/>
        <color rgb="FFFCFCFF"/>
        <color rgb="FF63BE7B"/>
      </colorScale>
    </cfRule>
  </conditionalFormatting>
  <conditionalFormatting sqref="D34:D58">
    <cfRule type="colorScale" priority="18">
      <colorScale>
        <cfvo type="min"/>
        <cfvo type="max"/>
        <color rgb="FFFFEF9C"/>
        <color rgb="FF63BE7B"/>
      </colorScale>
    </cfRule>
  </conditionalFormatting>
  <conditionalFormatting sqref="E4:E28">
    <cfRule type="colorScale" priority="33">
      <colorScale>
        <cfvo type="min"/>
        <cfvo type="max"/>
        <color rgb="FF63BE7B"/>
        <color rgb="FFFCFCFF"/>
      </colorScale>
    </cfRule>
  </conditionalFormatting>
  <conditionalFormatting sqref="E34:E58">
    <cfRule type="colorScale" priority="17">
      <colorScale>
        <cfvo type="min"/>
        <cfvo type="max"/>
        <color rgb="FFFFEF9C"/>
        <color rgb="FF63BE7B"/>
      </colorScale>
    </cfRule>
  </conditionalFormatting>
  <conditionalFormatting sqref="F34:F58">
    <cfRule type="colorScale" priority="16">
      <colorScale>
        <cfvo type="min"/>
        <cfvo type="max"/>
        <color rgb="FFFFEF9C"/>
        <color rgb="FF63BE7B"/>
      </colorScale>
    </cfRule>
  </conditionalFormatting>
  <conditionalFormatting sqref="G34:G58">
    <cfRule type="colorScale" priority="15">
      <colorScale>
        <cfvo type="min"/>
        <cfvo type="max"/>
        <color rgb="FFFFEF9C"/>
        <color rgb="FF63BE7B"/>
      </colorScale>
    </cfRule>
  </conditionalFormatting>
  <conditionalFormatting sqref="H4:H28">
    <cfRule type="colorScale" priority="32">
      <colorScale>
        <cfvo type="min"/>
        <cfvo type="max"/>
        <color rgb="FF63BE7B"/>
        <color rgb="FFFCFCFF"/>
      </colorScale>
    </cfRule>
  </conditionalFormatting>
  <conditionalFormatting sqref="H34:H58">
    <cfRule type="colorScale" priority="14">
      <colorScale>
        <cfvo type="min"/>
        <cfvo type="max"/>
        <color rgb="FFFFEF9C"/>
        <color rgb="FF63BE7B"/>
      </colorScale>
    </cfRule>
  </conditionalFormatting>
  <conditionalFormatting sqref="I34:I58">
    <cfRule type="colorScale" priority="13">
      <colorScale>
        <cfvo type="min"/>
        <cfvo type="max"/>
        <color rgb="FFFFEF9C"/>
        <color rgb="FF63BE7B"/>
      </colorScale>
    </cfRule>
  </conditionalFormatting>
  <conditionalFormatting sqref="J4:J28 M4:M28 P4:P28 S4:S28 V4:V28 Y4:Y28 AB4:AB28 AE4:AE28 D4:D29 G4:G30">
    <cfRule type="containsText" dxfId="5" priority="35" operator="containsText" text="0">
      <formula>NOT(ISERROR(SEARCH("0",D4)))</formula>
    </cfRule>
    <cfRule type="containsText" dxfId="4" priority="36" operator="containsText" text="1">
      <formula>NOT(ISERROR(SEARCH("1",D4)))</formula>
    </cfRule>
  </conditionalFormatting>
  <conditionalFormatting sqref="J34:J58">
    <cfRule type="colorScale" priority="12">
      <colorScale>
        <cfvo type="min"/>
        <cfvo type="max"/>
        <color rgb="FFFFEF9C"/>
        <color rgb="FF63BE7B"/>
      </colorScale>
    </cfRule>
  </conditionalFormatting>
  <conditionalFormatting sqref="K4:K28">
    <cfRule type="colorScale" priority="31">
      <colorScale>
        <cfvo type="min"/>
        <cfvo type="max"/>
        <color rgb="FF63BE7B"/>
        <color rgb="FFFCFCFF"/>
      </colorScale>
    </cfRule>
  </conditionalFormatting>
  <conditionalFormatting sqref="K34:K58">
    <cfRule type="colorScale" priority="11">
      <colorScale>
        <cfvo type="min"/>
        <cfvo type="max"/>
        <color rgb="FFFFEF9C"/>
        <color rgb="FF63BE7B"/>
      </colorScale>
    </cfRule>
  </conditionalFormatting>
  <conditionalFormatting sqref="L34:L58">
    <cfRule type="colorScale" priority="10">
      <colorScale>
        <cfvo type="min"/>
        <cfvo type="max"/>
        <color rgb="FFFFEF9C"/>
        <color rgb="FF63BE7B"/>
      </colorScale>
    </cfRule>
  </conditionalFormatting>
  <conditionalFormatting sqref="M34:M58">
    <cfRule type="colorScale" priority="2">
      <colorScale>
        <cfvo type="min"/>
        <cfvo type="max"/>
        <color rgb="FFFFEF9C"/>
        <color rgb="FF63BE7B"/>
      </colorScale>
    </cfRule>
  </conditionalFormatting>
  <conditionalFormatting sqref="N4:N28">
    <cfRule type="colorScale" priority="30">
      <colorScale>
        <cfvo type="min"/>
        <cfvo type="max"/>
        <color rgb="FF63BE7B"/>
        <color rgb="FFFCFCFF"/>
      </colorScale>
    </cfRule>
  </conditionalFormatting>
  <conditionalFormatting sqref="N34:N58">
    <cfRule type="colorScale" priority="1">
      <colorScale>
        <cfvo type="min"/>
        <cfvo type="percentile" val="50"/>
        <cfvo type="max"/>
        <color rgb="FFF8696B"/>
        <color rgb="FFFFEB84"/>
        <color rgb="FF63BE7B"/>
      </colorScale>
    </cfRule>
  </conditionalFormatting>
  <conditionalFormatting sqref="O34:O58">
    <cfRule type="colorScale" priority="9">
      <colorScale>
        <cfvo type="min"/>
        <cfvo type="max"/>
        <color rgb="FFFCFCFF"/>
        <color rgb="FFF8696B"/>
      </colorScale>
    </cfRule>
  </conditionalFormatting>
  <conditionalFormatting sqref="P34:P58">
    <cfRule type="containsText" dxfId="3" priority="22" operator="containsText" text="1">
      <formula>NOT(ISERROR(SEARCH("1",P34)))</formula>
    </cfRule>
    <cfRule type="containsText" dxfId="2" priority="21" operator="containsText" text="0">
      <formula>NOT(ISERROR(SEARCH("0",P34)))</formula>
    </cfRule>
  </conditionalFormatting>
  <conditionalFormatting sqref="Q4:Q28 T4:T28 W4:W28 AC4:AC28 AF4:AF28 E4:E28 H4:H28 K4:K28 N4:N28 Z4:Z28">
    <cfRule type="colorScale" priority="37">
      <colorScale>
        <cfvo type="min"/>
        <cfvo type="max"/>
        <color rgb="FF63BE7B"/>
        <color rgb="FFFCFCFF"/>
      </colorScale>
    </cfRule>
  </conditionalFormatting>
  <conditionalFormatting sqref="Q4:Q28">
    <cfRule type="colorScale" priority="29">
      <colorScale>
        <cfvo type="min"/>
        <cfvo type="max"/>
        <color rgb="FF63BE7B"/>
        <color rgb="FFFCFCFF"/>
      </colorScale>
    </cfRule>
  </conditionalFormatting>
  <conditionalFormatting sqref="Q34:Q58">
    <cfRule type="colorScale" priority="20">
      <colorScale>
        <cfvo type="min"/>
        <cfvo type="max"/>
        <color rgb="FF63BE7B"/>
        <color rgb="FFFCFCFF"/>
      </colorScale>
    </cfRule>
  </conditionalFormatting>
  <conditionalFormatting sqref="T4:T28">
    <cfRule type="colorScale" priority="28">
      <colorScale>
        <cfvo type="min"/>
        <cfvo type="max"/>
        <color rgb="FF63BE7B"/>
        <color rgb="FFFCFCFF"/>
      </colorScale>
    </cfRule>
  </conditionalFormatting>
  <conditionalFormatting sqref="W4:W28">
    <cfRule type="colorScale" priority="27">
      <colorScale>
        <cfvo type="min"/>
        <cfvo type="max"/>
        <color rgb="FF63BE7B"/>
        <color rgb="FFFCFCFF"/>
      </colorScale>
    </cfRule>
  </conditionalFormatting>
  <conditionalFormatting sqref="Z4:Z28">
    <cfRule type="colorScale" priority="26">
      <colorScale>
        <cfvo type="min"/>
        <cfvo type="max"/>
        <color rgb="FF63BE7B"/>
        <color rgb="FFFCFCFF"/>
      </colorScale>
    </cfRule>
  </conditionalFormatting>
  <conditionalFormatting sqref="AF4:AF28">
    <cfRule type="colorScale" priority="25">
      <colorScale>
        <cfvo type="min"/>
        <cfvo type="max"/>
        <color rgb="FF63BE7B"/>
        <color rgb="FFFCFCFF"/>
      </colorScale>
    </cfRule>
  </conditionalFormatting>
  <conditionalFormatting sqref="AH4:AH28">
    <cfRule type="containsText" dxfId="1" priority="6" operator="containsText" text="1">
      <formula>NOT(ISERROR(SEARCH("1",AH4)))</formula>
    </cfRule>
    <cfRule type="containsText" dxfId="0" priority="5" operator="containsText" text="0">
      <formula>NOT(ISERROR(SEARCH("0",AH4)))</formula>
    </cfRule>
  </conditionalFormatting>
  <conditionalFormatting sqref="AI4:AI28">
    <cfRule type="colorScale" priority="4">
      <colorScale>
        <cfvo type="min"/>
        <cfvo type="max"/>
        <color rgb="FF63BE7B"/>
        <color rgb="FFFCFCFF"/>
      </colorScale>
    </cfRule>
  </conditionalFormatting>
  <pageMargins left="0.7" right="0.7" top="0.75" bottom="0.75" header="0.3" footer="0.3"/>
</worksheet>
</file>

<file path=docMetadata/LabelInfo.xml><?xml version="1.0" encoding="utf-8"?>
<clbl:labelList xmlns:clbl="http://schemas.microsoft.com/office/2020/mipLabelMetadata">
  <clbl:label id="{7e753c2c-bb14-4786-921b-97c6a6fc424f}" enabled="1" method="Standard" siteId="{3bd97919-57c3-48d3-9e9a-8e4c01614a8f}"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QS Ranking</vt:lpstr>
      <vt:lpstr>SIES » ANUIES RANKING</vt:lpstr>
      <vt:lpstr>TMOD Ranking</vt:lpstr>
      <vt:lpstr>SNI's</vt:lpstr>
      <vt:lpstr>Filtros utilizados en el ANIUES</vt:lpstr>
      <vt:lpstr>Criterios de evaluación</vt:lpstr>
      <vt:lpstr>Matriz</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GOMEZ CASILLAS-EXT, CRISTIAN</dc:creator>
  <cp:lastModifiedBy>GOMEZ CASILLAS-EXT, CRISTIAN</cp:lastModifiedBy>
  <dcterms:created xsi:type="dcterms:W3CDTF">2026-02-09T17:53:02Z</dcterms:created>
  <dcterms:modified xsi:type="dcterms:W3CDTF">2026-03-26T16:06:52Z</dcterms:modified>
</cp:coreProperties>
</file>